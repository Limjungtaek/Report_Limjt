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OneDrive\바탕 화면\my_project\templates\"/>
    </mc:Choice>
  </mc:AlternateContent>
  <bookViews>
    <workbookView xWindow="0" yWindow="0" windowWidth="37140" windowHeight="10845" tabRatio="500"/>
  </bookViews>
  <sheets>
    <sheet name="요약보고서" sheetId="1" r:id="rId1"/>
  </sheets>
  <calcPr calcId="162913"/>
</workbook>
</file>

<file path=xl/calcChain.xml><?xml version="1.0" encoding="utf-8"?>
<calcChain xmlns="http://schemas.openxmlformats.org/spreadsheetml/2006/main">
  <c r="K23" i="1" l="1"/>
  <c r="M23" i="1" s="1"/>
  <c r="F24" i="1"/>
  <c r="N31" i="1" l="1"/>
  <c r="M31" i="1"/>
  <c r="L31" i="1"/>
  <c r="K31" i="1"/>
  <c r="J31" i="1"/>
  <c r="I31" i="1"/>
  <c r="H31" i="1"/>
  <c r="G31" i="1"/>
  <c r="F31" i="1"/>
  <c r="E31" i="1"/>
  <c r="D31" i="1"/>
  <c r="N29" i="1"/>
  <c r="M29" i="1"/>
  <c r="L29" i="1"/>
  <c r="K29" i="1"/>
  <c r="J29" i="1"/>
  <c r="I29" i="1"/>
  <c r="H29" i="1"/>
  <c r="G29" i="1"/>
  <c r="F29" i="1"/>
  <c r="E29" i="1"/>
  <c r="D29" i="1"/>
  <c r="D24" i="1" l="1"/>
  <c r="M21" i="1"/>
  <c r="M17" i="1"/>
  <c r="L17" i="1"/>
  <c r="K17" i="1"/>
  <c r="J17" i="1"/>
  <c r="N17" i="1" s="1"/>
  <c r="N16" i="1"/>
  <c r="F16" i="1"/>
  <c r="E16" i="1"/>
  <c r="G16" i="1" s="1"/>
  <c r="D16" i="1"/>
  <c r="N15" i="1"/>
  <c r="G15" i="1"/>
  <c r="N14" i="1"/>
  <c r="G14" i="1"/>
  <c r="N13" i="1"/>
  <c r="G13" i="1"/>
  <c r="N12" i="1"/>
  <c r="G12" i="1"/>
  <c r="N11" i="1"/>
  <c r="G11" i="1"/>
  <c r="M22" i="1" l="1"/>
</calcChain>
</file>

<file path=xl/sharedStrings.xml><?xml version="1.0" encoding="utf-8"?>
<sst xmlns="http://schemas.openxmlformats.org/spreadsheetml/2006/main" count="71" uniqueCount="62">
  <si>
    <t>임관리비 / 재고 현황 요약 보고서</t>
  </si>
  <si>
    <t>▎ 전체 현황 요약</t>
  </si>
  <si>
    <t>전체</t>
  </si>
  <si>
    <t>폐업</t>
  </si>
  <si>
    <t>출고중</t>
  </si>
  <si>
    <t>보유중</t>
  </si>
  <si>
    <t>▎ 지역별 가맹점 현황</t>
  </si>
  <si>
    <t>지역</t>
  </si>
  <si>
    <t>정상운영</t>
  </si>
  <si>
    <t>폐업률</t>
  </si>
  <si>
    <t>구분</t>
  </si>
  <si>
    <t>수량</t>
  </si>
  <si>
    <t>출고</t>
  </si>
  <si>
    <t>보유</t>
  </si>
  <si>
    <t>자산가치(원)</t>
  </si>
  <si>
    <t>출고율</t>
  </si>
  <si>
    <t>충청</t>
  </si>
  <si>
    <t>무상임대(A-1)</t>
  </si>
  <si>
    <t>경기</t>
  </si>
  <si>
    <t>무상임대(A-2)</t>
  </si>
  <si>
    <t>경상</t>
  </si>
  <si>
    <t>유상임대(A-2)</t>
  </si>
  <si>
    <t>강원</t>
  </si>
  <si>
    <t>무상임대(A-3)</t>
  </si>
  <si>
    <t>전라</t>
  </si>
  <si>
    <t>유상임대(A-3)</t>
  </si>
  <si>
    <t>합계</t>
  </si>
  <si>
    <t>중고출고(A-3)</t>
  </si>
  <si>
    <t>보관위치</t>
  </si>
  <si>
    <t>비율</t>
  </si>
  <si>
    <t>제품</t>
  </si>
  <si>
    <t>출고 대수</t>
  </si>
  <si>
    <t>보관 대수</t>
  </si>
  <si>
    <t>A-1</t>
  </si>
  <si>
    <t>본사보관</t>
  </si>
  <si>
    <t>A-2</t>
  </si>
  <si>
    <t>지사보관</t>
  </si>
  <si>
    <t>A-3</t>
  </si>
  <si>
    <t>'25.03</t>
  </si>
  <si>
    <t>'25.04</t>
  </si>
  <si>
    <t>'25.05</t>
  </si>
  <si>
    <t>'25.06</t>
  </si>
  <si>
    <t>'25.07</t>
  </si>
  <si>
    <t>'25.08</t>
  </si>
  <si>
    <t>'25.09</t>
  </si>
  <si>
    <t>'25.10</t>
  </si>
  <si>
    <t>'25.11</t>
  </si>
  <si>
    <t>'25.12</t>
  </si>
  <si>
    <t>전월대비</t>
  </si>
  <si>
    <t>-</t>
  </si>
  <si>
    <t>정상운영</t>
    <phoneticPr fontId="3" type="noConversion"/>
  </si>
  <si>
    <t xml:space="preserve"> 가맹점</t>
    <phoneticPr fontId="3" type="noConversion"/>
  </si>
  <si>
    <t xml:space="preserve"> 재고</t>
    <phoneticPr fontId="3" type="noConversion"/>
  </si>
  <si>
    <t>▎ 월별 임관리비 납부 및 임대자산 출고 추이</t>
  </si>
  <si>
    <t>해당연월</t>
  </si>
  <si>
    <t>임관리비
납부금액</t>
    <phoneticPr fontId="3" type="noConversion"/>
  </si>
  <si>
    <t>임대자산
출고수량</t>
    <phoneticPr fontId="3" type="noConversion"/>
  </si>
  <si>
    <t>▎ 자산 보관 위치 현황</t>
    <phoneticPr fontId="3" type="noConversion"/>
  </si>
  <si>
    <t>▎ 임대자산별 현황</t>
    <phoneticPr fontId="3" type="noConversion"/>
  </si>
  <si>
    <t>▎ 임대형태 및 임대자산별 현황</t>
    <phoneticPr fontId="3" type="noConversion"/>
  </si>
  <si>
    <t>26.01</t>
    <phoneticPr fontId="3" type="noConversion"/>
  </si>
  <si>
    <t>26.02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</si>
</sst>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0.0%"/>
    <numFmt numFmtId="177" formatCode="\+0.0%;\-0.0%"/>
    <numFmt numFmtId="178" formatCode="_(* #,##0_);_(* \(#,##0\);_(* \-_);_(@_)"/>
  </numFmts>
  <fonts count="12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3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sz val="12"/>
      <color theme="1"/>
      <name val="G마켓 산스 TTF Medium"/>
      <family val="3"/>
      <charset val="129"/>
    </font>
    <font>
      <b/>
      <sz val="12"/>
      <color rgb="FFFFFFFF"/>
      <name val="맑은 고딕"/>
      <family val="3"/>
      <charset val="129"/>
    </font>
    <font>
      <b/>
      <sz val="12"/>
      <color rgb="FF666666"/>
      <name val="맑은 고딕"/>
      <family val="3"/>
      <charset val="129"/>
    </font>
    <font>
      <b/>
      <sz val="12"/>
      <color rgb="FF1F3864"/>
      <name val="맑은 고딕"/>
      <family val="3"/>
      <charset val="129"/>
    </font>
    <font>
      <sz val="12"/>
      <color theme="1"/>
      <name val="맑은 고딕"/>
      <family val="3"/>
      <charset val="129"/>
    </font>
    <font>
      <b/>
      <sz val="12"/>
      <name val="맑은 고딕"/>
      <family val="3"/>
      <charset val="129"/>
    </font>
    <font>
      <sz val="12"/>
      <name val="맑은 고딕"/>
      <family val="3"/>
      <charset val="129"/>
    </font>
    <font>
      <b/>
      <sz val="22"/>
      <color rgb="FF1F3864"/>
      <name val="G마켓 산스 TTF Medium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rgb="FF1F3864"/>
        <bgColor rgb="FF203864"/>
      </patternFill>
    </fill>
    <fill>
      <patternFill patternType="solid">
        <fgColor rgb="FFD6E4F0"/>
        <bgColor rgb="FFDAE3F3"/>
      </patternFill>
    </fill>
    <fill>
      <patternFill patternType="solid">
        <fgColor rgb="FFE2EFDA"/>
        <bgColor rgb="FFEDEDED"/>
      </patternFill>
    </fill>
    <fill>
      <patternFill patternType="solid">
        <fgColor rgb="FFFBE5D6"/>
        <bgColor rgb="FFFFF2CC"/>
      </patternFill>
    </fill>
    <fill>
      <patternFill patternType="solid">
        <fgColor rgb="FFF2F2F2"/>
        <bgColor rgb="FFEDEDED"/>
      </patternFill>
    </fill>
    <fill>
      <patternFill patternType="solid">
        <fgColor rgb="FF4472C4"/>
        <bgColor rgb="FF2F5597"/>
      </patternFill>
    </fill>
    <fill>
      <patternFill patternType="solid">
        <fgColor rgb="FFFFFFFF"/>
        <bgColor rgb="FFFFF7E1"/>
      </patternFill>
    </fill>
    <fill>
      <patternFill patternType="solid">
        <fgColor rgb="FFD6DCE4"/>
        <bgColor rgb="FFD6E4F0"/>
      </patternFill>
    </fill>
    <fill>
      <patternFill patternType="solid">
        <fgColor theme="8" tint="-0.249977111117893"/>
        <bgColor rgb="FF203864"/>
      </patternFill>
    </fill>
    <fill>
      <patternFill patternType="solid">
        <fgColor theme="5" tint="-0.249977111117893"/>
        <bgColor rgb="FF2038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/>
      <right style="thin">
        <color rgb="FFB4C6E7"/>
      </right>
      <top style="thin">
        <color rgb="FFB4C6E7"/>
      </top>
      <bottom/>
      <diagonal/>
    </border>
    <border>
      <left/>
      <right/>
      <top style="thin">
        <color rgb="FFB4C6E7"/>
      </top>
      <bottom style="thin">
        <color rgb="FFB4C6E7"/>
      </bottom>
      <diagonal/>
    </border>
    <border>
      <left/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B4C6E7"/>
      </left>
      <right/>
      <top/>
      <bottom style="thin">
        <color rgb="FFB4C6E7"/>
      </bottom>
      <diagonal/>
    </border>
    <border>
      <left/>
      <right/>
      <top/>
      <bottom style="thin">
        <color rgb="FFB4C6E7"/>
      </bottom>
      <diagonal/>
    </border>
    <border>
      <left style="thin">
        <color rgb="FFB4C6E7"/>
      </left>
      <right/>
      <top style="thin">
        <color rgb="FFB4C6E7"/>
      </top>
      <bottom style="thin">
        <color rgb="FFB4C6E7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/>
      <diagonal/>
    </border>
    <border>
      <left style="thin">
        <color theme="8"/>
      </left>
      <right style="hair">
        <color theme="8"/>
      </right>
      <top style="thin">
        <color theme="8"/>
      </top>
      <bottom style="hair">
        <color theme="8"/>
      </bottom>
      <diagonal/>
    </border>
    <border>
      <left style="hair">
        <color theme="8"/>
      </left>
      <right style="hair">
        <color theme="8"/>
      </right>
      <top style="thin">
        <color theme="8"/>
      </top>
      <bottom style="hair">
        <color theme="8"/>
      </bottom>
      <diagonal/>
    </border>
    <border>
      <left style="hair">
        <color theme="8"/>
      </left>
      <right style="thin">
        <color theme="8"/>
      </right>
      <top style="thin">
        <color theme="8"/>
      </top>
      <bottom style="hair">
        <color theme="8"/>
      </bottom>
      <diagonal/>
    </border>
    <border>
      <left style="thin">
        <color theme="8"/>
      </left>
      <right style="hair">
        <color theme="8"/>
      </right>
      <top style="hair">
        <color theme="8"/>
      </top>
      <bottom style="thin">
        <color theme="8"/>
      </bottom>
      <diagonal/>
    </border>
    <border>
      <left style="hair">
        <color theme="8"/>
      </left>
      <right style="hair">
        <color theme="8"/>
      </right>
      <top style="hair">
        <color theme="8"/>
      </top>
      <bottom style="thin">
        <color theme="8"/>
      </bottom>
      <diagonal/>
    </border>
    <border>
      <left style="hair">
        <color theme="8"/>
      </left>
      <right style="thin">
        <color theme="8"/>
      </right>
      <top style="hair">
        <color theme="8"/>
      </top>
      <bottom style="thin">
        <color theme="8"/>
      </bottom>
      <diagonal/>
    </border>
    <border>
      <left/>
      <right style="thin">
        <color rgb="FFB4C6E7"/>
      </right>
      <top/>
      <bottom/>
      <diagonal/>
    </border>
    <border>
      <left style="thin">
        <color rgb="FFB4C6E7"/>
      </left>
      <right style="thin">
        <color rgb="FFB4C6E7"/>
      </right>
      <top/>
      <bottom/>
      <diagonal/>
    </border>
  </borders>
  <cellStyleXfs count="5">
    <xf numFmtId="0" fontId="0" fillId="0" borderId="0">
      <alignment vertical="center"/>
    </xf>
    <xf numFmtId="178" fontId="2" fillId="0" borderId="0">
      <alignment vertical="center"/>
    </xf>
    <xf numFmtId="178" fontId="2" fillId="0" borderId="0">
      <alignment vertical="center"/>
    </xf>
    <xf numFmtId="0" fontId="1" fillId="0" borderId="0">
      <alignment vertical="center"/>
    </xf>
    <xf numFmtId="178" fontId="2" fillId="0" borderId="0">
      <alignment vertical="center"/>
    </xf>
  </cellStyleXfs>
  <cellXfs count="69">
    <xf numFmtId="0" fontId="0" fillId="0" borderId="0" xfId="0" applyAlignment="1">
      <alignment vertical="center"/>
    </xf>
    <xf numFmtId="0" fontId="4" fillId="0" borderId="0" xfId="0" applyFont="1" applyAlignment="1"/>
    <xf numFmtId="0" fontId="4" fillId="0" borderId="0" xfId="0" applyFont="1" applyAlignment="1">
      <alignment vertical="center"/>
    </xf>
    <xf numFmtId="0" fontId="8" fillId="0" borderId="0" xfId="0" applyFont="1" applyAlignment="1"/>
    <xf numFmtId="0" fontId="9" fillId="9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3" fontId="10" fillId="6" borderId="1" xfId="0" applyNumberFormat="1" applyFont="1" applyFill="1" applyBorder="1" applyAlignment="1">
      <alignment horizontal="center" vertical="center" wrapText="1"/>
    </xf>
    <xf numFmtId="3" fontId="10" fillId="8" borderId="1" xfId="0" applyNumberFormat="1" applyFont="1" applyFill="1" applyBorder="1" applyAlignment="1">
      <alignment horizontal="center" vertical="center" wrapText="1"/>
    </xf>
    <xf numFmtId="3" fontId="9" fillId="9" borderId="1" xfId="0" applyNumberFormat="1" applyFont="1" applyFill="1" applyBorder="1" applyAlignment="1">
      <alignment horizontal="center" vertical="center" wrapText="1"/>
    </xf>
    <xf numFmtId="3" fontId="10" fillId="0" borderId="10" xfId="0" applyNumberFormat="1" applyFont="1" applyBorder="1" applyAlignment="1">
      <alignment horizontal="center" vertical="center" wrapText="1"/>
    </xf>
    <xf numFmtId="3" fontId="10" fillId="0" borderId="11" xfId="0" applyNumberFormat="1" applyFont="1" applyBorder="1" applyAlignment="1">
      <alignment horizontal="center" vertical="center" wrapText="1"/>
    </xf>
    <xf numFmtId="3" fontId="10" fillId="0" borderId="13" xfId="0" applyNumberFormat="1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176" fontId="10" fillId="6" borderId="1" xfId="0" applyNumberFormat="1" applyFont="1" applyFill="1" applyBorder="1" applyAlignment="1">
      <alignment horizontal="center" vertical="center" wrapText="1"/>
    </xf>
    <xf numFmtId="176" fontId="10" fillId="8" borderId="1" xfId="0" applyNumberFormat="1" applyFont="1" applyFill="1" applyBorder="1" applyAlignment="1">
      <alignment horizontal="center" vertical="center" wrapText="1"/>
    </xf>
    <xf numFmtId="176" fontId="9" fillId="9" borderId="1" xfId="0" applyNumberFormat="1" applyFont="1" applyFill="1" applyBorder="1" applyAlignment="1">
      <alignment horizontal="center" vertical="center" wrapText="1"/>
    </xf>
    <xf numFmtId="177" fontId="10" fillId="0" borderId="13" xfId="0" applyNumberFormat="1" applyFont="1" applyBorder="1" applyAlignment="1">
      <alignment horizontal="center" vertical="center" wrapText="1"/>
    </xf>
    <xf numFmtId="177" fontId="10" fillId="0" borderId="14" xfId="0" applyNumberFormat="1" applyFont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shrinkToFit="1"/>
    </xf>
    <xf numFmtId="0" fontId="10" fillId="8" borderId="1" xfId="0" applyFont="1" applyFill="1" applyBorder="1" applyAlignment="1">
      <alignment horizontal="center" vertical="center" shrinkToFit="1"/>
    </xf>
    <xf numFmtId="3" fontId="10" fillId="6" borderId="1" xfId="0" applyNumberFormat="1" applyFont="1" applyFill="1" applyBorder="1" applyAlignment="1">
      <alignment horizontal="center" vertical="center" shrinkToFit="1"/>
    </xf>
    <xf numFmtId="3" fontId="10" fillId="8" borderId="1" xfId="0" applyNumberFormat="1" applyFont="1" applyFill="1" applyBorder="1" applyAlignment="1">
      <alignment horizontal="center" vertical="center" shrinkToFit="1"/>
    </xf>
    <xf numFmtId="3" fontId="9" fillId="9" borderId="1" xfId="0" applyNumberFormat="1" applyFont="1" applyFill="1" applyBorder="1" applyAlignment="1">
      <alignment horizontal="center" vertical="center" shrinkToFit="1"/>
    </xf>
    <xf numFmtId="3" fontId="10" fillId="0" borderId="10" xfId="0" applyNumberFormat="1" applyFont="1" applyBorder="1" applyAlignment="1">
      <alignment horizontal="center" vertical="center" shrinkToFit="1"/>
    </xf>
    <xf numFmtId="3" fontId="10" fillId="0" borderId="11" xfId="0" applyNumberFormat="1" applyFont="1" applyBorder="1" applyAlignment="1">
      <alignment horizontal="center" vertical="center" shrinkToFit="1"/>
    </xf>
    <xf numFmtId="0" fontId="4" fillId="0" borderId="0" xfId="0" applyFont="1" applyAlignment="1"/>
    <xf numFmtId="0" fontId="5" fillId="7" borderId="8" xfId="0" applyFont="1" applyFill="1" applyBorder="1" applyAlignment="1">
      <alignment horizontal="center" vertical="center" wrapText="1"/>
    </xf>
    <xf numFmtId="0" fontId="9" fillId="13" borderId="9" xfId="0" applyFont="1" applyFill="1" applyBorder="1" applyAlignment="1">
      <alignment horizontal="center" vertical="center" wrapText="1" shrinkToFit="1"/>
    </xf>
    <xf numFmtId="0" fontId="9" fillId="13" borderId="12" xfId="0" applyFont="1" applyFill="1" applyBorder="1" applyAlignment="1">
      <alignment horizontal="center" vertical="center" shrinkToFit="1"/>
    </xf>
    <xf numFmtId="0" fontId="9" fillId="12" borderId="9" xfId="0" applyFont="1" applyFill="1" applyBorder="1" applyAlignment="1">
      <alignment horizontal="center" vertical="center" wrapText="1" shrinkToFit="1"/>
    </xf>
    <xf numFmtId="0" fontId="9" fillId="12" borderId="12" xfId="0" applyFont="1" applyFill="1" applyBorder="1" applyAlignment="1">
      <alignment horizontal="center" vertical="center" shrinkToFit="1"/>
    </xf>
    <xf numFmtId="0" fontId="5" fillId="7" borderId="8" xfId="0" applyFont="1" applyFill="1" applyBorder="1" applyAlignment="1">
      <alignment horizontal="center" vertical="center" wrapText="1"/>
    </xf>
    <xf numFmtId="0" fontId="5" fillId="7" borderId="8" xfId="0" quotePrefix="1" applyFont="1" applyFill="1" applyBorder="1" applyAlignment="1">
      <alignment horizontal="center" vertical="center" wrapText="1"/>
    </xf>
    <xf numFmtId="3" fontId="7" fillId="3" borderId="1" xfId="0" applyNumberFormat="1" applyFont="1" applyFill="1" applyBorder="1" applyAlignment="1">
      <alignment horizontal="center" vertical="center" wrapText="1"/>
    </xf>
    <xf numFmtId="0" fontId="0" fillId="0" borderId="4" xfId="0" applyBorder="1" applyAlignment="1"/>
    <xf numFmtId="3" fontId="7" fillId="5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176" fontId="9" fillId="9" borderId="1" xfId="0" quotePrefix="1" applyNumberFormat="1" applyFont="1" applyFill="1" applyBorder="1" applyAlignment="1">
      <alignment horizontal="center" vertical="center" wrapText="1"/>
    </xf>
    <xf numFmtId="3" fontId="10" fillId="6" borderId="1" xfId="0" applyNumberFormat="1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 wrapText="1"/>
    </xf>
    <xf numFmtId="3" fontId="10" fillId="8" borderId="1" xfId="0" applyNumberFormat="1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3" fontId="9" fillId="9" borderId="7" xfId="0" applyNumberFormat="1" applyFont="1" applyFill="1" applyBorder="1" applyAlignment="1">
      <alignment horizontal="center" vertical="center" wrapText="1"/>
    </xf>
    <xf numFmtId="3" fontId="9" fillId="9" borderId="3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0" fillId="0" borderId="3" xfId="0" applyBorder="1" applyAlignment="1"/>
    <xf numFmtId="0" fontId="5" fillId="7" borderId="1" xfId="0" applyFont="1" applyFill="1" applyBorder="1" applyAlignment="1">
      <alignment horizontal="center" vertical="center" wrapText="1"/>
    </xf>
    <xf numFmtId="0" fontId="9" fillId="9" borderId="16" xfId="0" applyFont="1" applyFill="1" applyBorder="1" applyAlignment="1">
      <alignment horizontal="center" vertical="center" wrapText="1"/>
    </xf>
    <xf numFmtId="0" fontId="0" fillId="0" borderId="15" xfId="0" applyBorder="1" applyAlignment="1"/>
    <xf numFmtId="0" fontId="11" fillId="0" borderId="0" xfId="0" applyFont="1" applyAlignment="1">
      <alignment horizontal="center" vertical="center"/>
    </xf>
    <xf numFmtId="0" fontId="4" fillId="0" borderId="0" xfId="0" applyFont="1" applyAlignment="1"/>
    <xf numFmtId="0" fontId="5" fillId="2" borderId="7" xfId="0" applyFont="1" applyFill="1" applyBorder="1" applyAlignment="1">
      <alignment vertical="center" wrapText="1"/>
    </xf>
    <xf numFmtId="3" fontId="7" fillId="4" borderId="1" xfId="0" applyNumberFormat="1" applyFont="1" applyFill="1" applyBorder="1" applyAlignment="1">
      <alignment horizontal="center" vertical="center" wrapText="1"/>
    </xf>
    <xf numFmtId="0" fontId="5" fillId="10" borderId="7" xfId="0" quotePrefix="1" applyFont="1" applyFill="1" applyBorder="1" applyAlignment="1">
      <alignment horizontal="left" vertical="center" wrapText="1"/>
    </xf>
    <xf numFmtId="0" fontId="0" fillId="0" borderId="3" xfId="0" applyBorder="1" applyAlignment="1">
      <alignment horizontal="left"/>
    </xf>
    <xf numFmtId="176" fontId="10" fillId="6" borderId="1" xfId="0" applyNumberFormat="1" applyFont="1" applyFill="1" applyBorder="1" applyAlignment="1">
      <alignment horizontal="center" vertical="center" wrapText="1"/>
    </xf>
    <xf numFmtId="0" fontId="5" fillId="7" borderId="8" xfId="0" applyFont="1" applyFill="1" applyBorder="1" applyAlignment="1">
      <alignment horizontal="center" vertical="center" wrapText="1"/>
    </xf>
    <xf numFmtId="0" fontId="0" fillId="0" borderId="2" xfId="0" applyBorder="1" applyAlignment="1"/>
    <xf numFmtId="176" fontId="10" fillId="8" borderId="1" xfId="0" applyNumberFormat="1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vertical="center" wrapText="1"/>
    </xf>
    <xf numFmtId="0" fontId="0" fillId="0" borderId="6" xfId="0" applyBorder="1" applyAlignment="1"/>
    <xf numFmtId="0" fontId="5" fillId="2" borderId="5" xfId="0" applyFont="1" applyFill="1" applyBorder="1" applyAlignment="1">
      <alignment horizontal="left" vertical="center" wrapText="1"/>
    </xf>
    <xf numFmtId="0" fontId="5" fillId="2" borderId="6" xfId="0" applyFont="1" applyFill="1" applyBorder="1" applyAlignment="1">
      <alignment horizontal="left" vertical="center" wrapText="1"/>
    </xf>
    <xf numFmtId="0" fontId="5" fillId="11" borderId="7" xfId="0" quotePrefix="1" applyFont="1" applyFill="1" applyBorder="1" applyAlignment="1">
      <alignment horizontal="left" vertical="center" wrapText="1"/>
    </xf>
    <xf numFmtId="3" fontId="9" fillId="9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vertical="center" wrapText="1"/>
    </xf>
  </cellXfs>
  <cellStyles count="5">
    <cellStyle name="Excel Built-in Comma [0]" xfId="4"/>
    <cellStyle name="쉼표 [0] 2" xfId="1"/>
    <cellStyle name="쉼표 [0] 3" xfId="2"/>
    <cellStyle name="표준" xfId="0" builtinId="0"/>
    <cellStyle name="표준 2 5" xfId="3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7E1"/>
      <rgbColor rgb="FFD6E4F0"/>
      <rgbColor rgb="FF660066"/>
      <rgbColor rgb="FFFF8080"/>
      <rgbColor rgb="FF0066CC"/>
      <rgbColor rgb="FFB4C6E7"/>
      <rgbColor rgb="FF000080"/>
      <rgbColor rgb="FFFF00FF"/>
      <rgbColor rgb="FFF2F2F2"/>
      <rgbColor rgb="FF00FFFF"/>
      <rgbColor rgb="FF800080"/>
      <rgbColor rgb="FF800000"/>
      <rgbColor rgb="FF008080"/>
      <rgbColor rgb="FF0000FF"/>
      <rgbColor rgb="FF00CCFF"/>
      <rgbColor rgb="FFDAE3F3"/>
      <rgbColor rgb="FFE2EFDA"/>
      <rgbColor rgb="FFFFF2CC"/>
      <rgbColor rgb="FFD6DCE4"/>
      <rgbColor rgb="FFFBE5D6"/>
      <rgbColor rgb="FFEDEDED"/>
      <rgbColor rgb="FFFFC7CE"/>
      <rgbColor rgb="FF4472C4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2F5597"/>
      <rgbColor rgb="FF20386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ko-KR"/>
              <a:t>▎ 월별 임관리비 납부 및 임대자산 출고 추이</a:t>
            </a:r>
            <a:r>
              <a:rPr lang="en-US"/>
              <a:t>(</a:t>
            </a:r>
            <a:r>
              <a:rPr lang="ko-KR"/>
              <a:t>그래프</a:t>
            </a:r>
            <a:r>
              <a:rPr lang="en-US"/>
              <a:t>)</a:t>
            </a:r>
            <a:endParaRPr lang="ko-KR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ko-KR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요약보고서!$B$28</c:f>
              <c:strCache>
                <c:ptCount val="1"/>
                <c:pt idx="0">
                  <c:v>임관리비
납부금액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요약보고서!$C$27:$N$27</c15:sqref>
                  </c15:fullRef>
                </c:ext>
              </c:extLst>
              <c:f>요약보고서!$C$27:$N$27</c:f>
              <c:strCache>
                <c:ptCount val="12"/>
                <c:pt idx="0">
                  <c:v>'25.03</c:v>
                </c:pt>
                <c:pt idx="1">
                  <c:v>'25.04</c:v>
                </c:pt>
                <c:pt idx="2">
                  <c:v>'25.05</c:v>
                </c:pt>
                <c:pt idx="3">
                  <c:v>'25.06</c:v>
                </c:pt>
                <c:pt idx="4">
                  <c:v>'25.07</c:v>
                </c:pt>
                <c:pt idx="5">
                  <c:v>'25.08</c:v>
                </c:pt>
                <c:pt idx="6">
                  <c:v>'25.09</c:v>
                </c:pt>
                <c:pt idx="7">
                  <c:v>'25.10</c:v>
                </c:pt>
                <c:pt idx="8">
                  <c:v>'25.11</c:v>
                </c:pt>
                <c:pt idx="9">
                  <c:v>'25.12</c:v>
                </c:pt>
                <c:pt idx="10">
                  <c:v>26.01</c:v>
                </c:pt>
                <c:pt idx="11">
                  <c:v>26.02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요약보고서!$C$28:$O$28</c15:sqref>
                  </c15:fullRef>
                </c:ext>
              </c:extLst>
              <c:f>요약보고서!$C$28:$N$28</c:f>
              <c:numCache>
                <c:formatCode>#,##0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F1-484C-972A-AA538BF060E8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310948831"/>
        <c:axId val="1310958399"/>
      </c:lineChart>
      <c:lineChart>
        <c:grouping val="stacked"/>
        <c:varyColors val="0"/>
        <c:ser>
          <c:idx val="1"/>
          <c:order val="1"/>
          <c:tx>
            <c:strRef>
              <c:f>요약보고서!$B$30</c:f>
              <c:strCache>
                <c:ptCount val="1"/>
                <c:pt idx="0">
                  <c:v>임대자산
출고수량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요약보고서!$C$27:$N$27</c15:sqref>
                  </c15:fullRef>
                </c:ext>
              </c:extLst>
              <c:f>요약보고서!$C$27:$N$27</c:f>
              <c:strCache>
                <c:ptCount val="12"/>
                <c:pt idx="0">
                  <c:v>'25.03</c:v>
                </c:pt>
                <c:pt idx="1">
                  <c:v>'25.04</c:v>
                </c:pt>
                <c:pt idx="2">
                  <c:v>'25.05</c:v>
                </c:pt>
                <c:pt idx="3">
                  <c:v>'25.06</c:v>
                </c:pt>
                <c:pt idx="4">
                  <c:v>'25.07</c:v>
                </c:pt>
                <c:pt idx="5">
                  <c:v>'25.08</c:v>
                </c:pt>
                <c:pt idx="6">
                  <c:v>'25.09</c:v>
                </c:pt>
                <c:pt idx="7">
                  <c:v>'25.10</c:v>
                </c:pt>
                <c:pt idx="8">
                  <c:v>'25.11</c:v>
                </c:pt>
                <c:pt idx="9">
                  <c:v>'25.12</c:v>
                </c:pt>
                <c:pt idx="10">
                  <c:v>26.01</c:v>
                </c:pt>
                <c:pt idx="11">
                  <c:v>26.02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요약보고서!$C$30:$O$30</c15:sqref>
                  </c15:fullRef>
                </c:ext>
              </c:extLst>
              <c:f>요약보고서!$C$30:$N$30</c:f>
              <c:numCache>
                <c:formatCode>#,##0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DF1-484C-972A-AA538BF060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11033279"/>
        <c:axId val="1311023295"/>
      </c:lineChart>
      <c:catAx>
        <c:axId val="13109488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10958399"/>
        <c:crosses val="autoZero"/>
        <c:auto val="1"/>
        <c:lblAlgn val="ctr"/>
        <c:lblOffset val="100"/>
        <c:noMultiLvlLbl val="0"/>
      </c:catAx>
      <c:valAx>
        <c:axId val="1310958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10948831"/>
        <c:crosses val="autoZero"/>
        <c:crossBetween val="between"/>
      </c:valAx>
      <c:valAx>
        <c:axId val="1311023295"/>
        <c:scaling>
          <c:orientation val="minMax"/>
        </c:scaling>
        <c:delete val="0"/>
        <c:axPos val="r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11033279"/>
        <c:crosses val="max"/>
        <c:crossBetween val="between"/>
      </c:valAx>
      <c:catAx>
        <c:axId val="131103327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311023295"/>
        <c:crosses val="autoZero"/>
        <c:auto val="1"/>
        <c:lblAlgn val="ctr"/>
        <c:lblOffset val="100"/>
        <c:noMultiLvlLbl val="0"/>
      </c:cat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zero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145676</xdr:colOff>
      <xdr:row>31</xdr:row>
      <xdr:rowOff>45942</xdr:rowOff>
    </xdr:from>
    <xdr:to>
      <xdr:col>14</xdr:col>
      <xdr:colOff>0</xdr:colOff>
      <xdr:row>49</xdr:row>
      <xdr:rowOff>212912</xdr:rowOff>
    </xdr:to>
    <xdr:graphicFrame macro="">
      <xdr:nvGraphicFramePr>
        <xdr:cNvPr id="5" name="차트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31"/>
  <sheetViews>
    <sheetView showGridLines="0" tabSelected="1" topLeftCell="A10" zoomScale="85" zoomScaleNormal="85" workbookViewId="0">
      <selection activeCell="T23" sqref="T23"/>
    </sheetView>
  </sheetViews>
  <sheetFormatPr defaultColWidth="8.5" defaultRowHeight="17.25" x14ac:dyDescent="0.35"/>
  <cols>
    <col min="1" max="1" width="2" style="1" customWidth="1"/>
    <col min="2" max="3" width="13" style="1" customWidth="1"/>
    <col min="4" max="14" width="13.125" style="1" customWidth="1"/>
    <col min="15" max="15" width="8.5" style="2" customWidth="1"/>
    <col min="16" max="16384" width="8.5" style="2"/>
  </cols>
  <sheetData>
    <row r="1" spans="2:14" ht="4.5" customHeight="1" x14ac:dyDescent="0.35"/>
    <row r="2" spans="2:14" ht="31.5" customHeight="1" x14ac:dyDescent="0.35">
      <c r="B2" s="52" t="s">
        <v>0</v>
      </c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</row>
    <row r="3" spans="2:14" ht="7.5" customHeight="1" x14ac:dyDescent="0.35"/>
    <row r="4" spans="2:14" ht="27.75" customHeight="1" x14ac:dyDescent="0.35">
      <c r="B4" s="62" t="s">
        <v>1</v>
      </c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</row>
    <row r="5" spans="2:14" ht="27.75" customHeight="1" x14ac:dyDescent="0.35">
      <c r="B5" s="56" t="s">
        <v>51</v>
      </c>
      <c r="C5" s="57"/>
      <c r="D5" s="57"/>
      <c r="E5" s="57"/>
      <c r="F5" s="57"/>
      <c r="G5" s="57"/>
      <c r="H5" s="2"/>
      <c r="I5" s="66" t="s">
        <v>52</v>
      </c>
      <c r="J5" s="57"/>
      <c r="K5" s="57"/>
      <c r="L5" s="57"/>
      <c r="M5" s="57"/>
      <c r="N5" s="57"/>
    </row>
    <row r="6" spans="2:14" ht="26.25" customHeight="1" x14ac:dyDescent="0.35">
      <c r="B6" s="36" t="s">
        <v>2</v>
      </c>
      <c r="C6" s="34"/>
      <c r="D6" s="38" t="s">
        <v>50</v>
      </c>
      <c r="E6" s="34"/>
      <c r="F6" s="37" t="s">
        <v>3</v>
      </c>
      <c r="G6" s="34"/>
      <c r="H6" s="2"/>
      <c r="I6" s="36" t="s">
        <v>2</v>
      </c>
      <c r="J6" s="34"/>
      <c r="K6" s="38" t="s">
        <v>4</v>
      </c>
      <c r="L6" s="34"/>
      <c r="M6" s="37" t="s">
        <v>5</v>
      </c>
      <c r="N6" s="34"/>
    </row>
    <row r="7" spans="2:14" ht="26.25" customHeight="1" x14ac:dyDescent="0.35">
      <c r="B7" s="33">
        <v>1962</v>
      </c>
      <c r="C7" s="34"/>
      <c r="D7" s="55">
        <v>1891</v>
      </c>
      <c r="E7" s="34"/>
      <c r="F7" s="35">
        <v>71</v>
      </c>
      <c r="G7" s="34"/>
      <c r="H7" s="2"/>
      <c r="I7" s="33">
        <v>1962</v>
      </c>
      <c r="J7" s="34"/>
      <c r="K7" s="55">
        <v>1865</v>
      </c>
      <c r="L7" s="34"/>
      <c r="M7" s="35">
        <v>71</v>
      </c>
      <c r="N7" s="34"/>
    </row>
    <row r="8" spans="2:14" ht="10.5" customHeight="1" x14ac:dyDescent="0.35">
      <c r="B8" s="3"/>
      <c r="C8" s="3"/>
      <c r="D8" s="3"/>
      <c r="E8" s="3"/>
      <c r="F8" s="3"/>
      <c r="G8" s="3"/>
      <c r="H8" s="2"/>
      <c r="I8" s="3"/>
      <c r="J8" s="3"/>
      <c r="K8" s="3"/>
      <c r="L8" s="3"/>
      <c r="M8" s="3"/>
      <c r="N8" s="3"/>
    </row>
    <row r="9" spans="2:14" ht="27.75" customHeight="1" x14ac:dyDescent="0.35">
      <c r="B9" s="54" t="s">
        <v>6</v>
      </c>
      <c r="C9" s="48"/>
      <c r="D9" s="48"/>
      <c r="E9" s="48"/>
      <c r="F9" s="48"/>
      <c r="G9" s="48"/>
      <c r="H9" s="2"/>
      <c r="I9" s="68" t="s">
        <v>59</v>
      </c>
      <c r="J9" s="48"/>
      <c r="K9" s="48"/>
      <c r="L9" s="48"/>
      <c r="M9" s="48"/>
      <c r="N9" s="34"/>
    </row>
    <row r="10" spans="2:14" ht="21.75" customHeight="1" x14ac:dyDescent="0.35">
      <c r="B10" s="59" t="s">
        <v>7</v>
      </c>
      <c r="C10" s="60"/>
      <c r="D10" s="5" t="s">
        <v>2</v>
      </c>
      <c r="E10" s="5" t="s">
        <v>8</v>
      </c>
      <c r="F10" s="5" t="s">
        <v>3</v>
      </c>
      <c r="G10" s="5" t="s">
        <v>9</v>
      </c>
      <c r="H10" s="2"/>
      <c r="I10" s="5" t="s">
        <v>10</v>
      </c>
      <c r="J10" s="5" t="s">
        <v>11</v>
      </c>
      <c r="K10" s="5" t="s">
        <v>12</v>
      </c>
      <c r="L10" s="5" t="s">
        <v>13</v>
      </c>
      <c r="M10" s="5" t="s">
        <v>14</v>
      </c>
      <c r="N10" s="5" t="s">
        <v>15</v>
      </c>
    </row>
    <row r="11" spans="2:14" ht="21.75" customHeight="1" x14ac:dyDescent="0.35">
      <c r="B11" s="41" t="s">
        <v>16</v>
      </c>
      <c r="C11" s="34"/>
      <c r="D11" s="6"/>
      <c r="E11" s="6"/>
      <c r="F11" s="6"/>
      <c r="G11" s="13" t="str">
        <f t="shared" ref="G11:G16" si="0">IF(E11=0,"-",F11/D11)</f>
        <v>-</v>
      </c>
      <c r="H11" s="2"/>
      <c r="I11" s="18" t="s">
        <v>17</v>
      </c>
      <c r="J11" s="6"/>
      <c r="K11" s="6"/>
      <c r="L11" s="6"/>
      <c r="M11" s="20"/>
      <c r="N11" s="13" t="str">
        <f t="shared" ref="N11:N17" si="1">IF(J11=0,"-",K11/J11)</f>
        <v>-</v>
      </c>
    </row>
    <row r="12" spans="2:14" ht="21.75" customHeight="1" x14ac:dyDescent="0.35">
      <c r="B12" s="44" t="s">
        <v>18</v>
      </c>
      <c r="C12" s="34"/>
      <c r="D12" s="7"/>
      <c r="E12" s="7"/>
      <c r="F12" s="7"/>
      <c r="G12" s="14" t="str">
        <f t="shared" si="0"/>
        <v>-</v>
      </c>
      <c r="H12" s="2"/>
      <c r="I12" s="19" t="s">
        <v>19</v>
      </c>
      <c r="J12" s="7"/>
      <c r="K12" s="7"/>
      <c r="L12" s="7"/>
      <c r="M12" s="21"/>
      <c r="N12" s="14" t="str">
        <f t="shared" si="1"/>
        <v>-</v>
      </c>
    </row>
    <row r="13" spans="2:14" ht="21.75" customHeight="1" x14ac:dyDescent="0.35">
      <c r="B13" s="41" t="s">
        <v>20</v>
      </c>
      <c r="C13" s="34"/>
      <c r="D13" s="6"/>
      <c r="E13" s="6"/>
      <c r="F13" s="6"/>
      <c r="G13" s="13" t="str">
        <f t="shared" si="0"/>
        <v>-</v>
      </c>
      <c r="H13" s="2"/>
      <c r="I13" s="18" t="s">
        <v>21</v>
      </c>
      <c r="J13" s="6"/>
      <c r="K13" s="6"/>
      <c r="L13" s="6"/>
      <c r="M13" s="20"/>
      <c r="N13" s="13" t="str">
        <f t="shared" si="1"/>
        <v>-</v>
      </c>
    </row>
    <row r="14" spans="2:14" ht="21.75" customHeight="1" x14ac:dyDescent="0.35">
      <c r="B14" s="44" t="s">
        <v>22</v>
      </c>
      <c r="C14" s="34"/>
      <c r="D14" s="7"/>
      <c r="E14" s="7"/>
      <c r="F14" s="7"/>
      <c r="G14" s="14" t="str">
        <f t="shared" si="0"/>
        <v>-</v>
      </c>
      <c r="H14" s="2"/>
      <c r="I14" s="19" t="s">
        <v>23</v>
      </c>
      <c r="J14" s="7"/>
      <c r="K14" s="7"/>
      <c r="L14" s="7"/>
      <c r="M14" s="21"/>
      <c r="N14" s="14" t="str">
        <f t="shared" si="1"/>
        <v>-</v>
      </c>
    </row>
    <row r="15" spans="2:14" ht="21.75" customHeight="1" x14ac:dyDescent="0.35">
      <c r="B15" s="41" t="s">
        <v>24</v>
      </c>
      <c r="C15" s="34"/>
      <c r="D15" s="6"/>
      <c r="E15" s="6"/>
      <c r="F15" s="6"/>
      <c r="G15" s="13" t="str">
        <f t="shared" si="0"/>
        <v>-</v>
      </c>
      <c r="H15" s="2"/>
      <c r="I15" s="18" t="s">
        <v>25</v>
      </c>
      <c r="J15" s="6"/>
      <c r="K15" s="6"/>
      <c r="L15" s="6"/>
      <c r="M15" s="20"/>
      <c r="N15" s="13" t="str">
        <f t="shared" si="1"/>
        <v>-</v>
      </c>
    </row>
    <row r="16" spans="2:14" ht="21.75" customHeight="1" x14ac:dyDescent="0.35">
      <c r="B16" s="50" t="s">
        <v>26</v>
      </c>
      <c r="C16" s="51"/>
      <c r="D16" s="8">
        <f>SUM(D11:D15)</f>
        <v>0</v>
      </c>
      <c r="E16" s="8">
        <f>SUM(E11:E15)</f>
        <v>0</v>
      </c>
      <c r="F16" s="8">
        <f>SUM(F11:F15)</f>
        <v>0</v>
      </c>
      <c r="G16" s="15" t="str">
        <f t="shared" si="0"/>
        <v>-</v>
      </c>
      <c r="H16" s="2"/>
      <c r="I16" s="19" t="s">
        <v>27</v>
      </c>
      <c r="J16" s="7"/>
      <c r="K16" s="7"/>
      <c r="L16" s="7"/>
      <c r="M16" s="21"/>
      <c r="N16" s="14" t="str">
        <f t="shared" si="1"/>
        <v>-</v>
      </c>
    </row>
    <row r="17" spans="1:14" ht="21.75" customHeight="1" x14ac:dyDescent="0.35">
      <c r="B17" s="3"/>
      <c r="C17" s="3"/>
      <c r="D17" s="3"/>
      <c r="E17" s="3"/>
      <c r="F17" s="3"/>
      <c r="G17" s="3"/>
      <c r="H17" s="3"/>
      <c r="I17" s="4" t="s">
        <v>26</v>
      </c>
      <c r="J17" s="8">
        <f>SUM(J11:J16)</f>
        <v>0</v>
      </c>
      <c r="K17" s="8">
        <f>SUM(K11:K16)</f>
        <v>0</v>
      </c>
      <c r="L17" s="8">
        <f>SUM(L11:L16)</f>
        <v>0</v>
      </c>
      <c r="M17" s="22">
        <f>SUM(M11:M16)</f>
        <v>0</v>
      </c>
      <c r="N17" s="15" t="str">
        <f t="shared" si="1"/>
        <v>-</v>
      </c>
    </row>
    <row r="18" spans="1:14" ht="10.5" customHeight="1" x14ac:dyDescent="0.35"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ht="27.75" customHeight="1" x14ac:dyDescent="0.35">
      <c r="B19" s="47" t="s">
        <v>58</v>
      </c>
      <c r="C19" s="48"/>
      <c r="D19" s="48"/>
      <c r="E19" s="48"/>
      <c r="F19" s="48"/>
      <c r="G19" s="34"/>
      <c r="H19" s="3"/>
      <c r="I19" s="47" t="s">
        <v>57</v>
      </c>
      <c r="J19" s="48"/>
      <c r="K19" s="48"/>
      <c r="L19" s="48"/>
      <c r="M19" s="48"/>
      <c r="N19" s="34"/>
    </row>
    <row r="20" spans="1:14" ht="21.75" customHeight="1" x14ac:dyDescent="0.35">
      <c r="B20" s="49" t="s">
        <v>30</v>
      </c>
      <c r="C20" s="34"/>
      <c r="D20" s="49" t="s">
        <v>31</v>
      </c>
      <c r="E20" s="34"/>
      <c r="F20" s="49" t="s">
        <v>32</v>
      </c>
      <c r="G20" s="34"/>
      <c r="H20" s="3"/>
      <c r="I20" s="49" t="s">
        <v>28</v>
      </c>
      <c r="J20" s="34"/>
      <c r="K20" s="49" t="s">
        <v>11</v>
      </c>
      <c r="L20" s="34"/>
      <c r="M20" s="49" t="s">
        <v>29</v>
      </c>
      <c r="N20" s="34"/>
    </row>
    <row r="21" spans="1:14" ht="21.75" customHeight="1" x14ac:dyDescent="0.35">
      <c r="B21" s="41" t="s">
        <v>33</v>
      </c>
      <c r="C21" s="34"/>
      <c r="D21" s="40"/>
      <c r="E21" s="34"/>
      <c r="F21" s="40"/>
      <c r="G21" s="34"/>
      <c r="H21" s="3"/>
      <c r="I21" s="44" t="s">
        <v>34</v>
      </c>
      <c r="J21" s="34"/>
      <c r="K21" s="43"/>
      <c r="L21" s="34"/>
      <c r="M21" s="61" t="str">
        <f>IF(K23=0,"-",K21/K23)</f>
        <v>-</v>
      </c>
      <c r="N21" s="34"/>
    </row>
    <row r="22" spans="1:14" ht="21.75" customHeight="1" x14ac:dyDescent="0.35">
      <c r="B22" s="44" t="s">
        <v>35</v>
      </c>
      <c r="C22" s="34"/>
      <c r="D22" s="43"/>
      <c r="E22" s="34"/>
      <c r="F22" s="43"/>
      <c r="G22" s="34"/>
      <c r="H22" s="3"/>
      <c r="I22" s="41" t="s">
        <v>36</v>
      </c>
      <c r="J22" s="34"/>
      <c r="K22" s="40"/>
      <c r="L22" s="34"/>
      <c r="M22" s="58" t="str">
        <f>IF(K23=0,"-",K22/K23)</f>
        <v>-</v>
      </c>
      <c r="N22" s="34"/>
    </row>
    <row r="23" spans="1:14" ht="21.75" customHeight="1" x14ac:dyDescent="0.35">
      <c r="B23" s="41" t="s">
        <v>37</v>
      </c>
      <c r="C23" s="34"/>
      <c r="D23" s="40"/>
      <c r="E23" s="34"/>
      <c r="F23" s="40"/>
      <c r="G23" s="34"/>
      <c r="H23" s="3"/>
      <c r="I23" s="42" t="s">
        <v>26</v>
      </c>
      <c r="J23" s="34"/>
      <c r="K23" s="67">
        <f>SUM(K21:L22)</f>
        <v>0</v>
      </c>
      <c r="L23" s="34"/>
      <c r="M23" s="39" t="str">
        <f>IF(K23=0,"-",(K21+K22)/K23)</f>
        <v>-</v>
      </c>
      <c r="N23" s="34"/>
    </row>
    <row r="24" spans="1:14" ht="21.75" customHeight="1" x14ac:dyDescent="0.35">
      <c r="B24" s="42" t="s">
        <v>26</v>
      </c>
      <c r="C24" s="34"/>
      <c r="D24" s="45">
        <f>SUM(D21:E23)</f>
        <v>0</v>
      </c>
      <c r="E24" s="46"/>
      <c r="F24" s="45">
        <f>SUM(F21:G23)</f>
        <v>0</v>
      </c>
      <c r="G24" s="46"/>
      <c r="H24" s="3"/>
    </row>
    <row r="25" spans="1:14" ht="10.5" customHeight="1" x14ac:dyDescent="0.35">
      <c r="B25" s="3"/>
      <c r="C25" s="3"/>
      <c r="D25" s="3"/>
      <c r="E25" s="3"/>
      <c r="F25" s="3"/>
      <c r="G25" s="3"/>
      <c r="H25" s="3"/>
      <c r="I25" s="2"/>
      <c r="J25" s="2"/>
      <c r="K25" s="2"/>
      <c r="L25" s="2"/>
      <c r="M25" s="2"/>
      <c r="N25" s="2"/>
    </row>
    <row r="26" spans="1:14" ht="27.75" customHeight="1" x14ac:dyDescent="0.35">
      <c r="A26" s="25"/>
      <c r="B26" s="64" t="s">
        <v>53</v>
      </c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</row>
    <row r="27" spans="1:14" ht="21.75" customHeight="1" x14ac:dyDescent="0.35">
      <c r="A27" s="25"/>
      <c r="B27" s="31" t="s">
        <v>54</v>
      </c>
      <c r="C27" s="26" t="s">
        <v>38</v>
      </c>
      <c r="D27" s="26" t="s">
        <v>39</v>
      </c>
      <c r="E27" s="26" t="s">
        <v>40</v>
      </c>
      <c r="F27" s="26" t="s">
        <v>41</v>
      </c>
      <c r="G27" s="26" t="s">
        <v>42</v>
      </c>
      <c r="H27" s="26" t="s">
        <v>43</v>
      </c>
      <c r="I27" s="26" t="s">
        <v>44</v>
      </c>
      <c r="J27" s="26" t="s">
        <v>45</v>
      </c>
      <c r="K27" s="26" t="s">
        <v>46</v>
      </c>
      <c r="L27" s="26" t="s">
        <v>47</v>
      </c>
      <c r="M27" s="32" t="s">
        <v>60</v>
      </c>
      <c r="N27" s="32" t="s">
        <v>61</v>
      </c>
    </row>
    <row r="28" spans="1:14" ht="39" customHeight="1" x14ac:dyDescent="0.35">
      <c r="A28" s="25"/>
      <c r="B28" s="27" t="s">
        <v>55</v>
      </c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4"/>
    </row>
    <row r="29" spans="1:14" ht="39" customHeight="1" x14ac:dyDescent="0.35">
      <c r="A29" s="25"/>
      <c r="B29" s="28" t="s">
        <v>48</v>
      </c>
      <c r="C29" s="11" t="s">
        <v>49</v>
      </c>
      <c r="D29" s="16" t="str">
        <f t="shared" ref="D29:I29" si="2">IF(D28=0,"-",D28/C28-1)</f>
        <v>-</v>
      </c>
      <c r="E29" s="16" t="str">
        <f t="shared" si="2"/>
        <v>-</v>
      </c>
      <c r="F29" s="16" t="str">
        <f t="shared" si="2"/>
        <v>-</v>
      </c>
      <c r="G29" s="16" t="str">
        <f t="shared" si="2"/>
        <v>-</v>
      </c>
      <c r="H29" s="16" t="str">
        <f t="shared" si="2"/>
        <v>-</v>
      </c>
      <c r="I29" s="16" t="str">
        <f t="shared" si="2"/>
        <v>-</v>
      </c>
      <c r="J29" s="16" t="str">
        <f t="shared" ref="J29:N29" si="3">IF(J28=0,"-",J28/I28-1)</f>
        <v>-</v>
      </c>
      <c r="K29" s="16" t="str">
        <f t="shared" si="3"/>
        <v>-</v>
      </c>
      <c r="L29" s="16" t="str">
        <f t="shared" si="3"/>
        <v>-</v>
      </c>
      <c r="M29" s="16" t="str">
        <f t="shared" si="3"/>
        <v>-</v>
      </c>
      <c r="N29" s="17" t="str">
        <f t="shared" si="3"/>
        <v>-</v>
      </c>
    </row>
    <row r="30" spans="1:14" ht="37.5" customHeight="1" x14ac:dyDescent="0.35">
      <c r="A30" s="25"/>
      <c r="B30" s="29" t="s">
        <v>56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10"/>
    </row>
    <row r="31" spans="1:14" ht="37.5" customHeight="1" x14ac:dyDescent="0.35">
      <c r="A31" s="25"/>
      <c r="B31" s="30" t="s">
        <v>48</v>
      </c>
      <c r="C31" s="12" t="s">
        <v>49</v>
      </c>
      <c r="D31" s="16" t="str">
        <f t="shared" ref="D31:I31" si="4">IF(D30=0,"-",D30/C30-1)</f>
        <v>-</v>
      </c>
      <c r="E31" s="16" t="str">
        <f t="shared" si="4"/>
        <v>-</v>
      </c>
      <c r="F31" s="16" t="str">
        <f t="shared" si="4"/>
        <v>-</v>
      </c>
      <c r="G31" s="16" t="str">
        <f t="shared" si="4"/>
        <v>-</v>
      </c>
      <c r="H31" s="16" t="str">
        <f t="shared" si="4"/>
        <v>-</v>
      </c>
      <c r="I31" s="16" t="str">
        <f t="shared" si="4"/>
        <v>-</v>
      </c>
      <c r="J31" s="16" t="str">
        <f t="shared" ref="J31:N31" si="5">IF(J30=0,"-",J30/I30-1)</f>
        <v>-</v>
      </c>
      <c r="K31" s="16" t="str">
        <f t="shared" si="5"/>
        <v>-</v>
      </c>
      <c r="L31" s="16" t="str">
        <f t="shared" si="5"/>
        <v>-</v>
      </c>
      <c r="M31" s="16" t="str">
        <f t="shared" si="5"/>
        <v>-</v>
      </c>
      <c r="N31" s="17" t="str">
        <f t="shared" si="5"/>
        <v>-</v>
      </c>
    </row>
  </sheetData>
  <mergeCells count="55">
    <mergeCell ref="B26:N26"/>
    <mergeCell ref="I23:J23"/>
    <mergeCell ref="B21:C21"/>
    <mergeCell ref="I5:N5"/>
    <mergeCell ref="B15:C15"/>
    <mergeCell ref="K23:L23"/>
    <mergeCell ref="B19:G19"/>
    <mergeCell ref="K6:L6"/>
    <mergeCell ref="D21:E21"/>
    <mergeCell ref="M6:N6"/>
    <mergeCell ref="I20:J20"/>
    <mergeCell ref="K22:L22"/>
    <mergeCell ref="I9:N9"/>
    <mergeCell ref="B23:C23"/>
    <mergeCell ref="K20:L20"/>
    <mergeCell ref="F22:G22"/>
    <mergeCell ref="B2:N2"/>
    <mergeCell ref="B9:G9"/>
    <mergeCell ref="M20:N20"/>
    <mergeCell ref="I22:J22"/>
    <mergeCell ref="B14:C14"/>
    <mergeCell ref="B13:C13"/>
    <mergeCell ref="B20:C20"/>
    <mergeCell ref="D7:E7"/>
    <mergeCell ref="B5:G5"/>
    <mergeCell ref="D20:E20"/>
    <mergeCell ref="M22:N22"/>
    <mergeCell ref="B10:C10"/>
    <mergeCell ref="I7:J7"/>
    <mergeCell ref="M21:N21"/>
    <mergeCell ref="B4:N4"/>
    <mergeCell ref="K7:L7"/>
    <mergeCell ref="M23:N23"/>
    <mergeCell ref="F21:G21"/>
    <mergeCell ref="B11:C11"/>
    <mergeCell ref="B24:C24"/>
    <mergeCell ref="D22:E22"/>
    <mergeCell ref="I21:J21"/>
    <mergeCell ref="K21:L21"/>
    <mergeCell ref="B22:C22"/>
    <mergeCell ref="D24:E24"/>
    <mergeCell ref="F24:G24"/>
    <mergeCell ref="B12:C12"/>
    <mergeCell ref="I19:N19"/>
    <mergeCell ref="D23:E23"/>
    <mergeCell ref="F23:G23"/>
    <mergeCell ref="F20:G20"/>
    <mergeCell ref="B16:C16"/>
    <mergeCell ref="B7:C7"/>
    <mergeCell ref="M7:N7"/>
    <mergeCell ref="B6:C6"/>
    <mergeCell ref="F6:G6"/>
    <mergeCell ref="D6:E6"/>
    <mergeCell ref="I6:J6"/>
    <mergeCell ref="F7:G7"/>
  </mergeCells>
  <phoneticPr fontId="3" type="noConversion"/>
  <pageMargins left="0.75" right="0.75" top="1" bottom="1" header="0.511811023622047" footer="0.511811023622047"/>
  <pageSetup orientation="landscape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요약보고서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임정택</dc:creator>
  <cp:lastModifiedBy>임정택</cp:lastModifiedBy>
  <cp:revision>0</cp:revision>
  <cp:lastPrinted>2025-12-31T00:45:25Z</cp:lastPrinted>
  <dcterms:created xsi:type="dcterms:W3CDTF">2025-06-18T00:30:37Z</dcterms:created>
  <dcterms:modified xsi:type="dcterms:W3CDTF">2026-03-17T03:31:54Z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DAwMDAwMDAwMDAwMDAwIiwibG9nVGltZSI6IjIwMjYtMDMtMTdUMDM6MjE6MTNaIiwicElEIjoyMDQ4LCJ0cmFjZUlkIjoiRUUzQjZFNTRGNUU0NEU1QjlDNEVGQzQxODIyOUY3QzIiLCJ1c2VyQ29kZSI6ImxpbWp0In0sIm5vZGUyIjp7ImRzZCI6IjAxMDAwMDAwMDAwMDI1OTIiLCJsb2dUaW1lIjoiMjAyNi0wMy0xN1QwMzoyODoxMloiLCJwSUQiOjEsInRyYWNlSWQiOiI3Q0Q5NkEyMTEyOUU0NENCODdDRUI5ODgwN0RBMkI5OCIsInVzZXJDb2RlIjoibGltanQifSwibm9kZTMiOnsiZHNkIjoiMDAwMDAwMDAwMDAwMDAwMCIsImxvZ1RpbWUiOiIyMDI2LTAzLTE3VDAzOjI4OjIxWiIsInBJRCI6MjA0OCwidHJhY2VJZCI6IjE2NUFDQUEwNzI0MjQzMzQ4QTMzMTJENDlGNjY4NDc3IiwidXNlckNvZGUiOiJsaW1qdCJ9LCJub2RlNCI6eyJkc2QiOiIwMTAwMDAwMDAwMDAyNTkyIiwibG9nVGltZSI6IjIwMjYtMDMtMTdUMDM6MzE6NThaIiwicElEIjoxLCJ0cmFjZUlkIjoiNjRGNzY0NDE2NEU1NDVDMUE0QzI4REYzNTlEMDM5NDEiLCJ1c2VyQ29kZSI6ImxpbWp0In0sIm5vZGU1Ijp7ImRzZCI6IjAwMDAwMDAwMDAwMDAwMDAiLCJsb2dUaW1lIjoiMjAyNi0wMy0xN1QwMzozMjowNFoiLCJwSUQiOjIwNDgsInRyYWNlSWQiOiI5QkM2NzFCQ0IwRkM0MjYzQkQxNEY3NTQyRTU2REJFRiIsInVzZXJDb2RlIjoibGltanQifSwibm9kZUNvdW50IjoyMn0=</vt:lpwstr>
  </property>
</Properties>
</file>