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0845" tabRatio="500"/>
  </bookViews>
  <sheets>
    <sheet name="요약보고서" sheetId="1" r:id="rId1"/>
  </sheets>
  <calcPr calcId="162913"/>
</workbook>
</file>

<file path=xl/calcChain.xml><?xml version="1.0" encoding="utf-8"?>
<calcChain xmlns="http://schemas.openxmlformats.org/spreadsheetml/2006/main">
  <c r="K23" i="1" l="1"/>
  <c r="M23" i="1" s="1"/>
  <c r="F24" i="1"/>
  <c r="N31" i="1" l="1"/>
  <c r="M31" i="1"/>
  <c r="L31" i="1"/>
  <c r="K31" i="1"/>
  <c r="J31" i="1"/>
  <c r="I31" i="1"/>
  <c r="H31" i="1"/>
  <c r="G31" i="1"/>
  <c r="F31" i="1"/>
  <c r="E31" i="1"/>
  <c r="D31" i="1"/>
  <c r="N29" i="1"/>
  <c r="M29" i="1"/>
  <c r="L29" i="1"/>
  <c r="K29" i="1"/>
  <c r="J29" i="1"/>
  <c r="I29" i="1"/>
  <c r="H29" i="1"/>
  <c r="G29" i="1"/>
  <c r="F29" i="1"/>
  <c r="E29" i="1"/>
  <c r="D29" i="1"/>
  <c r="D24" i="1" l="1"/>
  <c r="M21" i="1"/>
  <c r="M17" i="1"/>
  <c r="L17" i="1"/>
  <c r="K17" i="1"/>
  <c r="J17" i="1"/>
  <c r="N17" i="1" s="1"/>
  <c r="N16" i="1"/>
  <c r="F16" i="1"/>
  <c r="E16" i="1"/>
  <c r="G16" i="1" s="1"/>
  <c r="D16" i="1"/>
  <c r="N15" i="1"/>
  <c r="G15" i="1"/>
  <c r="N14" i="1"/>
  <c r="G14" i="1"/>
  <c r="N13" i="1"/>
  <c r="G13" i="1"/>
  <c r="N12" i="1"/>
  <c r="G12" i="1"/>
  <c r="N11" i="1"/>
  <c r="G11" i="1"/>
  <c r="M22" i="1" l="1"/>
</calcChain>
</file>

<file path=xl/sharedStrings.xml><?xml version="1.0" encoding="utf-8"?>
<sst xmlns="http://schemas.openxmlformats.org/spreadsheetml/2006/main" count="71" uniqueCount="62">
  <si>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</si>
  <si>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</si>
  <si>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</si>
  <si>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</si>
  <si>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</si>
  <si>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</si>
  <si>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</si>
  <si>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</si>
  <si>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</si>
  <si>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</si>
  <si>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</si>
  <si>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</si>
  <si>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</si>
  <si>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</si>
  <si>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</si>
  <si>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</si>
  <si>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</si>
  <si>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</si>
  <si>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</si>
  <si>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</si>
  <si>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</si>
  <si>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</si>
  <si>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</si>
  <si>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</si>
  <si>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</si>
  <si>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</si>
  <si>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</si>
  <si>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</si>
  <si>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</si>
  <si>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</si>
  <si>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</si>
  <si>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</si>
  <si>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</si>
  <si>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</si>
  <si>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</si>
  <si>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</si>
  <si>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</si>
  <si>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</si>
  <si>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</si>
  <si>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</si>
  <si>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</si>
  <si>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</si>
  <si>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</si>
  <si>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</si>
  <si>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</si>
  <si>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</si>
  <si>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</si>
  <si>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</si>
  <si>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</si>
  <si>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-</t>
  </si>
  <si>
    <t>정상운영</t>
    <phoneticPr fontId="3" type="noConversion"/>
  </si>
  <si>
    <t xml:space="preserve"> 가맹점</t>
    <phoneticPr fontId="3" type="noConversion"/>
  </si>
  <si>
    <t xml:space="preserve"> 재고</t>
    <phoneticPr fontId="3" type="noConversion"/>
  </si>
  <si>
    <t>▎ 월별 임관리비 납부 및 임대자산 출고 추이</t>
  </si>
  <si>
    <t>해당연월</t>
  </si>
  <si>
    <t>임관리비
납부금액</t>
    <phoneticPr fontId="3" type="noConversion"/>
  </si>
  <si>
    <t>임대자산
출고수량</t>
    <phoneticPr fontId="3" type="noConversion"/>
  </si>
  <si>
    <t>▎ 자산 보관 위치 현황</t>
    <phoneticPr fontId="3" type="noConversion"/>
  </si>
  <si>
    <t>▎ 임대자산별 현황</t>
    <phoneticPr fontId="3" type="noConversion"/>
  </si>
  <si>
    <t>▎ 임대형태 및 임대자산별 현황</t>
    <phoneticPr fontId="3" type="noConversion"/>
  </si>
  <si>
    <t>26.01</t>
    <phoneticPr fontId="3" type="noConversion"/>
  </si>
  <si>
    <t>26.02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</si>
</sst>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9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4" fillId="0" borderId="0" xfId="0" applyFont="1" applyAlignment="1"/>
    <xf numFmtId="0" fontId="5" fillId="7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 shrinkToFit="1"/>
    </xf>
    <xf numFmtId="0" fontId="9" fillId="13" borderId="12" xfId="0" applyFont="1" applyFill="1" applyBorder="1" applyAlignment="1">
      <alignment horizontal="center" vertical="center" shrinkToFit="1"/>
    </xf>
    <xf numFmtId="0" fontId="9" fillId="12" borderId="9" xfId="0" applyFont="1" applyFill="1" applyBorder="1" applyAlignment="1">
      <alignment horizontal="center" vertical="center" wrapText="1" shrinkToFit="1"/>
    </xf>
    <xf numFmtId="0" fontId="9" fillId="12" borderId="12" xfId="0" applyFont="1" applyFill="1" applyBorder="1" applyAlignment="1">
      <alignment horizontal="center" vertical="center" shrinkToFit="1"/>
    </xf>
    <xf numFmtId="0" fontId="5" fillId="7" borderId="8" xfId="0" applyFont="1" applyFill="1" applyBorder="1" applyAlignment="1">
      <alignment horizontal="center" vertical="center" wrapText="1"/>
    </xf>
    <xf numFmtId="0" fontId="5" fillId="7" borderId="8" xfId="0" quotePrefix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0" fillId="0" borderId="4" xfId="0" applyBorder="1" applyAlignment="1"/>
    <xf numFmtId="0" fontId="9" fillId="6" borderId="1" xfId="0" applyFont="1" applyFill="1" applyBorder="1" applyAlignment="1">
      <alignment horizontal="center" vertical="center" wrapText="1"/>
    </xf>
    <xf numFmtId="0" fontId="5" fillId="11" borderId="7" xfId="0" quotePrefix="1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6" fillId="4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4" fillId="0" borderId="0" xfId="0" applyFont="1" applyAlignment="1"/>
    <xf numFmtId="0" fontId="5" fillId="2" borderId="7" xfId="0" applyFont="1" applyFill="1" applyBorder="1" applyAlignment="1">
      <alignment vertical="center" wrapText="1"/>
    </xf>
    <xf numFmtId="0" fontId="9" fillId="8" borderId="1" xfId="0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5" fillId="10" borderId="7" xfId="0" quotePrefix="1" applyFont="1" applyFill="1" applyBorder="1" applyAlignment="1">
      <alignment horizontal="left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3" fontId="7" fillId="3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176" fontId="9" fillId="9" borderId="1" xfId="0" quotePrefix="1" applyNumberFormat="1" applyFont="1" applyFill="1" applyBorder="1" applyAlignment="1">
      <alignment horizontal="center" vertical="center" wrapText="1"/>
    </xf>
    <xf numFmtId="3" fontId="9" fillId="9" borderId="7" xfId="0" applyNumberFormat="1" applyFont="1" applyFill="1" applyBorder="1" applyAlignment="1">
      <alignment horizontal="center" vertical="center" wrapText="1"/>
    </xf>
    <xf numFmtId="3" fontId="9" fillId="9" borderId="3" xfId="0" applyNumberFormat="1" applyFont="1" applyFill="1" applyBorder="1" applyAlignment="1">
      <alignment horizontal="center" vertical="center" wrapText="1"/>
    </xf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3" fontId="7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ko-KR"/>
              <a:t>▎ 월별 임관리비 납부 및 임대자산 출고 추이</a:t>
            </a:r>
            <a:r>
              <a:rPr lang="en-US"/>
              <a:t>(</a:t>
            </a:r>
            <a:r>
              <a:rPr lang="ko-KR"/>
              <a:t>그래프</a:t>
            </a:r>
            <a:r>
              <a:rPr lang="en-US"/>
              <a:t>)</a:t>
            </a:r>
            <a:endParaRPr lang="ko-K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
납부금액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요약보고서!$C$28:$N$28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
출고수량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요약보고서!$C$30:$N$30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F1-484C-972A-AA538BF06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145676</xdr:colOff>
      <xdr:row>31</xdr:row>
      <xdr:rowOff>45942</xdr:rowOff>
    </xdr:from>
    <xdr:to>
      <xdr:col>14</xdr:col>
      <xdr:colOff>0</xdr:colOff>
      <xdr:row>49</xdr:row>
      <xdr:rowOff>212912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1"/>
  <sheetViews>
    <sheetView showGridLines="0" tabSelected="1" zoomScale="85" zoomScaleNormal="85" workbookViewId="0">
      <selection activeCell="R10" sqref="R10"/>
    </sheetView>
  </sheetViews>
  <sheetFormatPr defaultColWidth="8.5" defaultRowHeight="17.25" x14ac:dyDescent="0.35"/>
  <cols>
    <col min="1" max="1" width="2" style="1" customWidth="1"/>
    <col min="2" max="3" width="13" style="1" customWidth="1"/>
    <col min="4" max="14" width="13.125" style="1" customWidth="1"/>
    <col min="15" max="15" width="8.5" style="2" customWidth="1"/>
    <col min="16" max="16384" width="8.5" style="2"/>
  </cols>
  <sheetData>
    <row r="1" spans="2:14" ht="4.5" customHeight="1" x14ac:dyDescent="0.35"/>
    <row r="2" spans="2:14" ht="31.5" customHeight="1" x14ac:dyDescent="0.35">
      <c r="B2" s="49" t="s">
        <v>0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3" spans="2:14" ht="7.5" customHeight="1" x14ac:dyDescent="0.35"/>
    <row r="4" spans="2:14" ht="27.75" customHeight="1" x14ac:dyDescent="0.35">
      <c r="B4" s="60" t="s">
        <v>1</v>
      </c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</row>
    <row r="5" spans="2:14" ht="27.75" customHeight="1" x14ac:dyDescent="0.35">
      <c r="B5" s="54" t="s">
        <v>51</v>
      </c>
      <c r="C5" s="39"/>
      <c r="D5" s="39"/>
      <c r="E5" s="39"/>
      <c r="F5" s="39"/>
      <c r="G5" s="39"/>
      <c r="H5" s="2"/>
      <c r="I5" s="38" t="s">
        <v>52</v>
      </c>
      <c r="J5" s="39"/>
      <c r="K5" s="39"/>
      <c r="L5" s="39"/>
      <c r="M5" s="39"/>
      <c r="N5" s="39"/>
    </row>
    <row r="6" spans="2:14" ht="26.25" customHeight="1" x14ac:dyDescent="0.35">
      <c r="B6" s="68" t="s">
        <v>2</v>
      </c>
      <c r="C6" s="36"/>
      <c r="D6" s="43" t="s">
        <v>50</v>
      </c>
      <c r="E6" s="36"/>
      <c r="F6" s="45" t="s">
        <v>3</v>
      </c>
      <c r="G6" s="36"/>
      <c r="H6" s="2"/>
      <c r="I6" s="68" t="s">
        <v>2</v>
      </c>
      <c r="J6" s="36"/>
      <c r="K6" s="43" t="s">
        <v>4</v>
      </c>
      <c r="L6" s="36"/>
      <c r="M6" s="45" t="s">
        <v>5</v>
      </c>
      <c r="N6" s="36"/>
    </row>
    <row r="7" spans="2:14" ht="26.25" customHeight="1" x14ac:dyDescent="0.35">
      <c r="B7" s="58">
        <v>1962</v>
      </c>
      <c r="C7" s="36"/>
      <c r="D7" s="53">
        <v>1891</v>
      </c>
      <c r="E7" s="36"/>
      <c r="F7" s="67">
        <v>71</v>
      </c>
      <c r="G7" s="36"/>
      <c r="H7" s="2"/>
      <c r="I7" s="58">
        <v>1962</v>
      </c>
      <c r="J7" s="36"/>
      <c r="K7" s="53">
        <v>1865</v>
      </c>
      <c r="L7" s="36"/>
      <c r="M7" s="67">
        <v>71</v>
      </c>
      <c r="N7" s="36"/>
    </row>
    <row r="8" spans="2:14" ht="10.5" customHeight="1" x14ac:dyDescent="0.35">
      <c r="B8" s="3"/>
      <c r="C8" s="3"/>
      <c r="D8" s="3"/>
      <c r="E8" s="3"/>
      <c r="F8" s="3"/>
      <c r="G8" s="3"/>
      <c r="H8" s="2"/>
      <c r="I8" s="3"/>
      <c r="J8" s="3"/>
      <c r="K8" s="3"/>
      <c r="L8" s="3"/>
      <c r="M8" s="3"/>
      <c r="N8" s="3"/>
    </row>
    <row r="9" spans="2:14" ht="27.75" customHeight="1" x14ac:dyDescent="0.35">
      <c r="B9" s="51" t="s">
        <v>6</v>
      </c>
      <c r="C9" s="42"/>
      <c r="D9" s="42"/>
      <c r="E9" s="42"/>
      <c r="F9" s="42"/>
      <c r="G9" s="42"/>
      <c r="H9" s="2"/>
      <c r="I9" s="47" t="s">
        <v>59</v>
      </c>
      <c r="J9" s="42"/>
      <c r="K9" s="42"/>
      <c r="L9" s="42"/>
      <c r="M9" s="42"/>
      <c r="N9" s="36"/>
    </row>
    <row r="10" spans="2:14" ht="21.75" customHeight="1" x14ac:dyDescent="0.35">
      <c r="B10" s="56" t="s">
        <v>7</v>
      </c>
      <c r="C10" s="57"/>
      <c r="D10" s="5" t="s">
        <v>2</v>
      </c>
      <c r="E10" s="5" t="s">
        <v>8</v>
      </c>
      <c r="F10" s="5" t="s">
        <v>3</v>
      </c>
      <c r="G10" s="5" t="s">
        <v>9</v>
      </c>
      <c r="H10" s="2"/>
      <c r="I10" s="5" t="s">
        <v>10</v>
      </c>
      <c r="J10" s="5" t="s">
        <v>11</v>
      </c>
      <c r="K10" s="5" t="s">
        <v>12</v>
      </c>
      <c r="L10" s="5" t="s">
        <v>13</v>
      </c>
      <c r="M10" s="5" t="s">
        <v>14</v>
      </c>
      <c r="N10" s="5" t="s">
        <v>15</v>
      </c>
    </row>
    <row r="11" spans="2:14" ht="21.75" customHeight="1" x14ac:dyDescent="0.35">
      <c r="B11" s="37" t="s">
        <v>16</v>
      </c>
      <c r="C11" s="36"/>
      <c r="D11" s="6"/>
      <c r="E11" s="6"/>
      <c r="F11" s="6"/>
      <c r="G11" s="13" t="str">
        <f t="shared" ref="G11:G16" si="0">IF(E11=0,"-",F11/D11)</f>
        <v>-</v>
      </c>
      <c r="H11" s="2"/>
      <c r="I11" s="18" t="s">
        <v>17</v>
      </c>
      <c r="J11" s="6"/>
      <c r="K11" s="6"/>
      <c r="L11" s="6"/>
      <c r="M11" s="20"/>
      <c r="N11" s="13" t="str">
        <f t="shared" ref="N11:N17" si="1">IF(J11=0,"-",K11/J11)</f>
        <v>-</v>
      </c>
    </row>
    <row r="12" spans="2:14" ht="21.75" customHeight="1" x14ac:dyDescent="0.35">
      <c r="B12" s="52" t="s">
        <v>18</v>
      </c>
      <c r="C12" s="36"/>
      <c r="D12" s="7"/>
      <c r="E12" s="7"/>
      <c r="F12" s="7"/>
      <c r="G12" s="14" t="str">
        <f t="shared" si="0"/>
        <v>-</v>
      </c>
      <c r="H12" s="2"/>
      <c r="I12" s="19" t="s">
        <v>19</v>
      </c>
      <c r="J12" s="7"/>
      <c r="K12" s="7"/>
      <c r="L12" s="7"/>
      <c r="M12" s="21"/>
      <c r="N12" s="14" t="str">
        <f t="shared" si="1"/>
        <v>-</v>
      </c>
    </row>
    <row r="13" spans="2:14" ht="21.75" customHeight="1" x14ac:dyDescent="0.35">
      <c r="B13" s="37" t="s">
        <v>20</v>
      </c>
      <c r="C13" s="36"/>
      <c r="D13" s="6"/>
      <c r="E13" s="6"/>
      <c r="F13" s="6"/>
      <c r="G13" s="13" t="str">
        <f t="shared" si="0"/>
        <v>-</v>
      </c>
      <c r="H13" s="2"/>
      <c r="I13" s="18" t="s">
        <v>21</v>
      </c>
      <c r="J13" s="6"/>
      <c r="K13" s="6"/>
      <c r="L13" s="6"/>
      <c r="M13" s="20"/>
      <c r="N13" s="13" t="str">
        <f t="shared" si="1"/>
        <v>-</v>
      </c>
    </row>
    <row r="14" spans="2:14" ht="21.75" customHeight="1" x14ac:dyDescent="0.35">
      <c r="B14" s="52" t="s">
        <v>22</v>
      </c>
      <c r="C14" s="36"/>
      <c r="D14" s="7"/>
      <c r="E14" s="7"/>
      <c r="F14" s="7"/>
      <c r="G14" s="14" t="str">
        <f t="shared" si="0"/>
        <v>-</v>
      </c>
      <c r="H14" s="2"/>
      <c r="I14" s="19" t="s">
        <v>23</v>
      </c>
      <c r="J14" s="7"/>
      <c r="K14" s="7"/>
      <c r="L14" s="7"/>
      <c r="M14" s="21"/>
      <c r="N14" s="14" t="str">
        <f t="shared" si="1"/>
        <v>-</v>
      </c>
    </row>
    <row r="15" spans="2:14" ht="21.75" customHeight="1" x14ac:dyDescent="0.35">
      <c r="B15" s="37" t="s">
        <v>24</v>
      </c>
      <c r="C15" s="36"/>
      <c r="D15" s="6"/>
      <c r="E15" s="6"/>
      <c r="F15" s="6"/>
      <c r="G15" s="13" t="str">
        <f t="shared" si="0"/>
        <v>-</v>
      </c>
      <c r="H15" s="2"/>
      <c r="I15" s="18" t="s">
        <v>25</v>
      </c>
      <c r="J15" s="6"/>
      <c r="K15" s="6"/>
      <c r="L15" s="6"/>
      <c r="M15" s="20"/>
      <c r="N15" s="13" t="str">
        <f t="shared" si="1"/>
        <v>-</v>
      </c>
    </row>
    <row r="16" spans="2:14" ht="21.75" customHeight="1" x14ac:dyDescent="0.35">
      <c r="B16" s="65" t="s">
        <v>26</v>
      </c>
      <c r="C16" s="66"/>
      <c r="D16" s="8">
        <f>SUM(D11:D15)</f>
        <v>0</v>
      </c>
      <c r="E16" s="8">
        <f>SUM(E11:E15)</f>
        <v>0</v>
      </c>
      <c r="F16" s="8">
        <f>SUM(F11:F15)</f>
        <v>0</v>
      </c>
      <c r="G16" s="15" t="str">
        <f t="shared" si="0"/>
        <v>-</v>
      </c>
      <c r="H16" s="2"/>
      <c r="I16" s="19" t="s">
        <v>27</v>
      </c>
      <c r="J16" s="7"/>
      <c r="K16" s="7"/>
      <c r="L16" s="7"/>
      <c r="M16" s="21"/>
      <c r="N16" s="14" t="str">
        <f t="shared" si="1"/>
        <v>-</v>
      </c>
    </row>
    <row r="17" spans="1:14" ht="21.75" customHeight="1" x14ac:dyDescent="0.35">
      <c r="B17" s="3"/>
      <c r="C17" s="3"/>
      <c r="D17" s="3"/>
      <c r="E17" s="3"/>
      <c r="F17" s="3"/>
      <c r="G17" s="3"/>
      <c r="H17" s="3"/>
      <c r="I17" s="4" t="s">
        <v>26</v>
      </c>
      <c r="J17" s="8">
        <f>SUM(J11:J16)</f>
        <v>0</v>
      </c>
      <c r="K17" s="8">
        <f>SUM(K11:K16)</f>
        <v>0</v>
      </c>
      <c r="L17" s="8">
        <f>SUM(L11:L16)</f>
        <v>0</v>
      </c>
      <c r="M17" s="22">
        <f>SUM(M11:M16)</f>
        <v>0</v>
      </c>
      <c r="N17" s="15" t="str">
        <f t="shared" si="1"/>
        <v>-</v>
      </c>
    </row>
    <row r="18" spans="1:14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27.75" customHeight="1" x14ac:dyDescent="0.35">
      <c r="B19" s="41" t="s">
        <v>58</v>
      </c>
      <c r="C19" s="42"/>
      <c r="D19" s="42"/>
      <c r="E19" s="42"/>
      <c r="F19" s="42"/>
      <c r="G19" s="36"/>
      <c r="H19" s="3"/>
      <c r="I19" s="41" t="s">
        <v>57</v>
      </c>
      <c r="J19" s="42"/>
      <c r="K19" s="42"/>
      <c r="L19" s="42"/>
      <c r="M19" s="42"/>
      <c r="N19" s="36"/>
    </row>
    <row r="20" spans="1:14" ht="21.75" customHeight="1" x14ac:dyDescent="0.35">
      <c r="B20" s="46" t="s">
        <v>30</v>
      </c>
      <c r="C20" s="36"/>
      <c r="D20" s="46" t="s">
        <v>31</v>
      </c>
      <c r="E20" s="36"/>
      <c r="F20" s="46" t="s">
        <v>32</v>
      </c>
      <c r="G20" s="36"/>
      <c r="H20" s="3"/>
      <c r="I20" s="46" t="s">
        <v>28</v>
      </c>
      <c r="J20" s="36"/>
      <c r="K20" s="46" t="s">
        <v>11</v>
      </c>
      <c r="L20" s="36"/>
      <c r="M20" s="46" t="s">
        <v>29</v>
      </c>
      <c r="N20" s="36"/>
    </row>
    <row r="21" spans="1:14" ht="21.75" customHeight="1" x14ac:dyDescent="0.35">
      <c r="B21" s="37" t="s">
        <v>33</v>
      </c>
      <c r="C21" s="36"/>
      <c r="D21" s="44"/>
      <c r="E21" s="36"/>
      <c r="F21" s="44"/>
      <c r="G21" s="36"/>
      <c r="H21" s="3"/>
      <c r="I21" s="52" t="s">
        <v>34</v>
      </c>
      <c r="J21" s="36"/>
      <c r="K21" s="48"/>
      <c r="L21" s="36"/>
      <c r="M21" s="59" t="str">
        <f>IF(K23=0,"-",K21/K23)</f>
        <v>-</v>
      </c>
      <c r="N21" s="36"/>
    </row>
    <row r="22" spans="1:14" ht="21.75" customHeight="1" x14ac:dyDescent="0.35">
      <c r="B22" s="52" t="s">
        <v>35</v>
      </c>
      <c r="C22" s="36"/>
      <c r="D22" s="48"/>
      <c r="E22" s="36"/>
      <c r="F22" s="48"/>
      <c r="G22" s="36"/>
      <c r="H22" s="3"/>
      <c r="I22" s="37" t="s">
        <v>36</v>
      </c>
      <c r="J22" s="36"/>
      <c r="K22" s="44"/>
      <c r="L22" s="36"/>
      <c r="M22" s="55" t="str">
        <f>IF(K23=0,"-",K22/K23)</f>
        <v>-</v>
      </c>
      <c r="N22" s="36"/>
    </row>
    <row r="23" spans="1:14" ht="21.75" customHeight="1" x14ac:dyDescent="0.35">
      <c r="B23" s="37" t="s">
        <v>37</v>
      </c>
      <c r="C23" s="36"/>
      <c r="D23" s="44"/>
      <c r="E23" s="36"/>
      <c r="F23" s="44"/>
      <c r="G23" s="36"/>
      <c r="H23" s="3"/>
      <c r="I23" s="35" t="s">
        <v>26</v>
      </c>
      <c r="J23" s="36"/>
      <c r="K23" s="40">
        <f>SUM(K21:L22)</f>
        <v>0</v>
      </c>
      <c r="L23" s="36"/>
      <c r="M23" s="62" t="str">
        <f>IF(K23=0,"-",(K21+K22)/K23)</f>
        <v>-</v>
      </c>
      <c r="N23" s="36"/>
    </row>
    <row r="24" spans="1:14" ht="21.75" customHeight="1" x14ac:dyDescent="0.35">
      <c r="B24" s="35" t="s">
        <v>26</v>
      </c>
      <c r="C24" s="36"/>
      <c r="D24" s="63">
        <f>SUM(D21:E23)</f>
        <v>0</v>
      </c>
      <c r="E24" s="64"/>
      <c r="F24" s="63">
        <f>SUM(F21:G23)</f>
        <v>0</v>
      </c>
      <c r="G24" s="64"/>
      <c r="H24" s="3"/>
    </row>
    <row r="25" spans="1:14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</row>
    <row r="26" spans="1:14" ht="27.75" customHeight="1" x14ac:dyDescent="0.35">
      <c r="A26" s="25"/>
      <c r="B26" s="33" t="s">
        <v>53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</row>
    <row r="27" spans="1:14" ht="21.75" customHeight="1" x14ac:dyDescent="0.35">
      <c r="A27" s="25"/>
      <c r="B27" s="31" t="s">
        <v>54</v>
      </c>
      <c r="C27" s="26" t="s">
        <v>38</v>
      </c>
      <c r="D27" s="26" t="s">
        <v>39</v>
      </c>
      <c r="E27" s="26" t="s">
        <v>40</v>
      </c>
      <c r="F27" s="26" t="s">
        <v>41</v>
      </c>
      <c r="G27" s="26" t="s">
        <v>42</v>
      </c>
      <c r="H27" s="26" t="s">
        <v>43</v>
      </c>
      <c r="I27" s="26" t="s">
        <v>44</v>
      </c>
      <c r="J27" s="26" t="s">
        <v>45</v>
      </c>
      <c r="K27" s="26" t="s">
        <v>46</v>
      </c>
      <c r="L27" s="26" t="s">
        <v>47</v>
      </c>
      <c r="M27" s="32" t="s">
        <v>60</v>
      </c>
      <c r="N27" s="32" t="s">
        <v>61</v>
      </c>
    </row>
    <row r="28" spans="1:14" ht="39" customHeight="1" x14ac:dyDescent="0.35">
      <c r="A28" s="25"/>
      <c r="B28" s="27" t="s">
        <v>55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4"/>
    </row>
    <row r="29" spans="1:14" ht="39" customHeight="1" x14ac:dyDescent="0.35">
      <c r="A29" s="25"/>
      <c r="B29" s="28" t="s">
        <v>48</v>
      </c>
      <c r="C29" s="11" t="s">
        <v>49</v>
      </c>
      <c r="D29" s="16" t="str">
        <f t="shared" ref="D29:I29" si="2">IF(D28=0,"-",D28/C28-1)</f>
        <v>-</v>
      </c>
      <c r="E29" s="16" t="str">
        <f t="shared" si="2"/>
        <v>-</v>
      </c>
      <c r="F29" s="16" t="str">
        <f t="shared" si="2"/>
        <v>-</v>
      </c>
      <c r="G29" s="16" t="str">
        <f t="shared" si="2"/>
        <v>-</v>
      </c>
      <c r="H29" s="16" t="str">
        <f t="shared" si="2"/>
        <v>-</v>
      </c>
      <c r="I29" s="16" t="str">
        <f t="shared" si="2"/>
        <v>-</v>
      </c>
      <c r="J29" s="16" t="str">
        <f t="shared" ref="J29:N29" si="3">IF(J28=0,"-",J28/I28-1)</f>
        <v>-</v>
      </c>
      <c r="K29" s="16" t="str">
        <f t="shared" si="3"/>
        <v>-</v>
      </c>
      <c r="L29" s="16" t="str">
        <f t="shared" si="3"/>
        <v>-</v>
      </c>
      <c r="M29" s="16" t="str">
        <f t="shared" si="3"/>
        <v>-</v>
      </c>
      <c r="N29" s="17" t="str">
        <f t="shared" si="3"/>
        <v>-</v>
      </c>
    </row>
    <row r="30" spans="1:14" ht="37.5" customHeight="1" x14ac:dyDescent="0.35">
      <c r="A30" s="25"/>
      <c r="B30" s="29" t="s">
        <v>56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7.5" customHeight="1" x14ac:dyDescent="0.35">
      <c r="A31" s="25"/>
      <c r="B31" s="30" t="s">
        <v>48</v>
      </c>
      <c r="C31" s="12" t="s">
        <v>49</v>
      </c>
      <c r="D31" s="16" t="str">
        <f t="shared" ref="D31:I31" si="4">IF(D30=0,"-",D30/C30-1)</f>
        <v>-</v>
      </c>
      <c r="E31" s="16" t="str">
        <f t="shared" si="4"/>
        <v>-</v>
      </c>
      <c r="F31" s="16" t="str">
        <f t="shared" si="4"/>
        <v>-</v>
      </c>
      <c r="G31" s="16" t="str">
        <f t="shared" si="4"/>
        <v>-</v>
      </c>
      <c r="H31" s="16" t="str">
        <f t="shared" si="4"/>
        <v>-</v>
      </c>
      <c r="I31" s="16" t="str">
        <f t="shared" si="4"/>
        <v>-</v>
      </c>
      <c r="J31" s="16" t="str">
        <f t="shared" ref="J31:N31" si="5">IF(J30=0,"-",J30/I30-1)</f>
        <v>-</v>
      </c>
      <c r="K31" s="16" t="str">
        <f t="shared" si="5"/>
        <v>-</v>
      </c>
      <c r="L31" s="16" t="str">
        <f t="shared" si="5"/>
        <v>-</v>
      </c>
      <c r="M31" s="16" t="str">
        <f t="shared" si="5"/>
        <v>-</v>
      </c>
      <c r="N31" s="17" t="str">
        <f t="shared" si="5"/>
        <v>-</v>
      </c>
    </row>
  </sheetData>
  <mergeCells count="55">
    <mergeCell ref="B7:C7"/>
    <mergeCell ref="M7:N7"/>
    <mergeCell ref="B6:C6"/>
    <mergeCell ref="F6:G6"/>
    <mergeCell ref="D6:E6"/>
    <mergeCell ref="I6:J6"/>
    <mergeCell ref="F7:G7"/>
    <mergeCell ref="M23:N23"/>
    <mergeCell ref="F21:G21"/>
    <mergeCell ref="B11:C11"/>
    <mergeCell ref="B24:C24"/>
    <mergeCell ref="D22:E22"/>
    <mergeCell ref="I21:J21"/>
    <mergeCell ref="K21:L21"/>
    <mergeCell ref="B22:C22"/>
    <mergeCell ref="D24:E24"/>
    <mergeCell ref="F24:G24"/>
    <mergeCell ref="B12:C12"/>
    <mergeCell ref="I19:N19"/>
    <mergeCell ref="D23:E23"/>
    <mergeCell ref="F23:G23"/>
    <mergeCell ref="F20:G20"/>
    <mergeCell ref="B16:C16"/>
    <mergeCell ref="B2:N2"/>
    <mergeCell ref="B9:G9"/>
    <mergeCell ref="M20:N20"/>
    <mergeCell ref="I22:J22"/>
    <mergeCell ref="B14:C14"/>
    <mergeCell ref="B13:C13"/>
    <mergeCell ref="B20:C20"/>
    <mergeCell ref="D7:E7"/>
    <mergeCell ref="B5:G5"/>
    <mergeCell ref="D20:E20"/>
    <mergeCell ref="M22:N22"/>
    <mergeCell ref="B10:C10"/>
    <mergeCell ref="I7:J7"/>
    <mergeCell ref="M21:N21"/>
    <mergeCell ref="B4:N4"/>
    <mergeCell ref="K7:L7"/>
    <mergeCell ref="B26:N26"/>
    <mergeCell ref="I23:J23"/>
    <mergeCell ref="B21:C21"/>
    <mergeCell ref="I5:N5"/>
    <mergeCell ref="B15:C15"/>
    <mergeCell ref="K23:L23"/>
    <mergeCell ref="B19:G19"/>
    <mergeCell ref="K6:L6"/>
    <mergeCell ref="D21:E21"/>
    <mergeCell ref="M6:N6"/>
    <mergeCell ref="I20:J20"/>
    <mergeCell ref="K22:L22"/>
    <mergeCell ref="I9:N9"/>
    <mergeCell ref="B23:C23"/>
    <mergeCell ref="K20:L20"/>
    <mergeCell ref="F22:G22"/>
  </mergeCells>
  <phoneticPr fontId="3" type="noConversion"/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요약보고서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2025-12-31T00:45:25Z</cp:lastPrinted>
  <dcterms:created xsi:type="dcterms:W3CDTF">2025-06-18T00:30:37Z</dcterms:created>
  <dcterms:modified xsi:type="dcterms:W3CDTF">2026-03-17T03:18:19Z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DAwMDAwMDAwMDAwMDAwIiwibG9nVGltZSI6IjIwMjYtMDMtMTdUMDE6NDM6MjhaIiwicElEIjoyMDQ4LCJ0cmFjZUlkIjoiMTZFRUNERDQwNzZCNDlGNEI1OTU1QjhGNDc0MkE0RDgiLCJ1c2VyQ29kZSI6ImxpbWp0In0sIm5vZGUyIjp7ImRzZCI6IjAxMDAwMDAwMDAwMDI1OTIiLCJsb2dUaW1lIjoiMjAyNi0wMy0xN1QwMjoxMDo1NFoiLCJwSUQiOjEsInRyYWNlSWQiOiJFNEM4MjIyRThEODc0QzEzQTlDOTdDMDJEMDFCREFBMiIsInVzZXJDb2RlIjoibGltanQifSwibm9kZTMiOnsiZHNkIjoiMDAwMDAwMDAwMDAwMDAwMCIsImxvZ1RpbWUiOiIyMDI2LTAzLTE3VDAyOjExOjA2WiIsInBJRCI6MjA0OCwidHJhY2VJZCI6IjdBMUNEODM2QTlDOTQxQjNCRUFEMTYzQTJCQjM5QTZEIiwidXNlckNvZGUiOiJsaW1qdCJ9LCJub2RlNCI6eyJkc2QiOiIwMTAwMDAwMDAwMDAyNTkyIiwibG9nVGltZSI6IjIwMjYtMDMtMTdUMDM6MTg6MjNaIiwicElEIjoxLCJ0cmFjZUlkIjoiRjBBREVEM0I5MThBNDE1NDhENjk5N0U1NDgwODk2MDIiLCJ1c2VyQ29kZSI6ImxpbWp0In0sIm5vZGU1Ijp7ImRzZCI6IjAwMDAwMDAwMDAwMDAwMDAiLCJsb2dUaW1lIjoiMjAyNi0wMy0xN1QwMzoxODozNFoiLCJwSUQiOjIwNDgsInRyYWNlSWQiOiI5REI2RUIxOTlCMDI0OTk3OUNENDlCOThDNkJGNzRBMCIsInVzZXJDb2RlIjoibGltanQifSwibm9kZUNvdW50IjoxNn0=</vt:lpwstr>
  </property>
</Properties>
</file>