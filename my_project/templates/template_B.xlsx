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<sst xmlns="http://schemas.openxmlformats.org/spreadsheetml/2006/main" count="71" uniqueCount="62">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</sst>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9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b="1"/>
              <a:t>▎ 월별 임관리비 납부 및 임대자산 출고 추이</a:t>
            </a:r>
            <a:r>
              <a:rPr lang="en-US" b="1"/>
              <a:t>(</a:t>
            </a:r>
            <a:r>
              <a:rPr lang="ko-KR" b="1"/>
              <a:t>그래프</a:t>
            </a:r>
            <a:r>
              <a:rPr lang="en-US" b="1"/>
              <a:t>)</a:t>
            </a:r>
            <a:endParaRPr lang="ko-K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R21" sqref="R21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49" t="s">
        <v>0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4" ht="7.5" customHeight="1" x14ac:dyDescent="0.35"/>
    <row r="4" spans="2:14" ht="27.75" customHeight="1" x14ac:dyDescent="0.35">
      <c r="B4" s="60" t="s">
        <v>1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</row>
    <row r="5" spans="2:14" ht="27.75" customHeight="1" x14ac:dyDescent="0.35">
      <c r="B5" s="54" t="s">
        <v>51</v>
      </c>
      <c r="C5" s="39"/>
      <c r="D5" s="39"/>
      <c r="E5" s="39"/>
      <c r="F5" s="39"/>
      <c r="G5" s="39"/>
      <c r="H5" s="2"/>
      <c r="I5" s="38" t="s">
        <v>52</v>
      </c>
      <c r="J5" s="39"/>
      <c r="K5" s="39"/>
      <c r="L5" s="39"/>
      <c r="M5" s="39"/>
      <c r="N5" s="39"/>
    </row>
    <row r="6" spans="2:14" ht="26.25" customHeight="1" x14ac:dyDescent="0.35">
      <c r="B6" s="68" t="s">
        <v>2</v>
      </c>
      <c r="C6" s="36"/>
      <c r="D6" s="43" t="s">
        <v>50</v>
      </c>
      <c r="E6" s="36"/>
      <c r="F6" s="45" t="s">
        <v>3</v>
      </c>
      <c r="G6" s="36"/>
      <c r="H6" s="2"/>
      <c r="I6" s="68" t="s">
        <v>2</v>
      </c>
      <c r="J6" s="36"/>
      <c r="K6" s="43" t="s">
        <v>4</v>
      </c>
      <c r="L6" s="36"/>
      <c r="M6" s="45" t="s">
        <v>5</v>
      </c>
      <c r="N6" s="36"/>
    </row>
    <row r="7" spans="2:14" ht="26.25" customHeight="1" x14ac:dyDescent="0.35">
      <c r="B7" s="58">
        <v>1962</v>
      </c>
      <c r="C7" s="36"/>
      <c r="D7" s="53">
        <v>1891</v>
      </c>
      <c r="E7" s="36"/>
      <c r="F7" s="67">
        <v>71</v>
      </c>
      <c r="G7" s="36"/>
      <c r="H7" s="2"/>
      <c r="I7" s="58">
        <v>1962</v>
      </c>
      <c r="J7" s="36"/>
      <c r="K7" s="53">
        <v>1865</v>
      </c>
      <c r="L7" s="36"/>
      <c r="M7" s="67">
        <v>71</v>
      </c>
      <c r="N7" s="36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1" t="s">
        <v>6</v>
      </c>
      <c r="C9" s="42"/>
      <c r="D9" s="42"/>
      <c r="E9" s="42"/>
      <c r="F9" s="42"/>
      <c r="G9" s="42"/>
      <c r="H9" s="2"/>
      <c r="I9" s="47" t="s">
        <v>59</v>
      </c>
      <c r="J9" s="42"/>
      <c r="K9" s="42"/>
      <c r="L9" s="42"/>
      <c r="M9" s="42"/>
      <c r="N9" s="36"/>
    </row>
    <row r="10" spans="2:14" ht="21.75" customHeight="1" x14ac:dyDescent="0.35">
      <c r="B10" s="56" t="s">
        <v>7</v>
      </c>
      <c r="C10" s="57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37" t="s">
        <v>16</v>
      </c>
      <c r="C11" s="36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52" t="s">
        <v>18</v>
      </c>
      <c r="C12" s="36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37" t="s">
        <v>20</v>
      </c>
      <c r="C13" s="36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52" t="s">
        <v>22</v>
      </c>
      <c r="C14" s="36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37" t="s">
        <v>24</v>
      </c>
      <c r="C15" s="36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65" t="s">
        <v>26</v>
      </c>
      <c r="C16" s="66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1" t="s">
        <v>58</v>
      </c>
      <c r="C19" s="42"/>
      <c r="D19" s="42"/>
      <c r="E19" s="42"/>
      <c r="F19" s="42"/>
      <c r="G19" s="36"/>
      <c r="H19" s="3"/>
      <c r="I19" s="41" t="s">
        <v>57</v>
      </c>
      <c r="J19" s="42"/>
      <c r="K19" s="42"/>
      <c r="L19" s="42"/>
      <c r="M19" s="42"/>
      <c r="N19" s="36"/>
    </row>
    <row r="20" spans="1:14" ht="21.75" customHeight="1" x14ac:dyDescent="0.35">
      <c r="B20" s="46" t="s">
        <v>30</v>
      </c>
      <c r="C20" s="36"/>
      <c r="D20" s="46" t="s">
        <v>31</v>
      </c>
      <c r="E20" s="36"/>
      <c r="F20" s="46" t="s">
        <v>32</v>
      </c>
      <c r="G20" s="36"/>
      <c r="H20" s="3"/>
      <c r="I20" s="46" t="s">
        <v>28</v>
      </c>
      <c r="J20" s="36"/>
      <c r="K20" s="46" t="s">
        <v>11</v>
      </c>
      <c r="L20" s="36"/>
      <c r="M20" s="46" t="s">
        <v>29</v>
      </c>
      <c r="N20" s="36"/>
    </row>
    <row r="21" spans="1:14" ht="21.75" customHeight="1" x14ac:dyDescent="0.35">
      <c r="B21" s="37" t="s">
        <v>33</v>
      </c>
      <c r="C21" s="36"/>
      <c r="D21" s="44"/>
      <c r="E21" s="36"/>
      <c r="F21" s="44"/>
      <c r="G21" s="36"/>
      <c r="H21" s="3"/>
      <c r="I21" s="52" t="s">
        <v>34</v>
      </c>
      <c r="J21" s="36"/>
      <c r="K21" s="48"/>
      <c r="L21" s="36"/>
      <c r="M21" s="59" t="str">
        <f>IF(K23=0,"-",K21/K23)</f>
        <v>-</v>
      </c>
      <c r="N21" s="36"/>
    </row>
    <row r="22" spans="1:14" ht="21.75" customHeight="1" x14ac:dyDescent="0.35">
      <c r="B22" s="52" t="s">
        <v>35</v>
      </c>
      <c r="C22" s="36"/>
      <c r="D22" s="48"/>
      <c r="E22" s="36"/>
      <c r="F22" s="48"/>
      <c r="G22" s="36"/>
      <c r="H22" s="3"/>
      <c r="I22" s="37" t="s">
        <v>36</v>
      </c>
      <c r="J22" s="36"/>
      <c r="K22" s="44"/>
      <c r="L22" s="36"/>
      <c r="M22" s="55" t="str">
        <f>IF(K23=0,"-",K22/K23)</f>
        <v>-</v>
      </c>
      <c r="N22" s="36"/>
    </row>
    <row r="23" spans="1:14" ht="21.75" customHeight="1" x14ac:dyDescent="0.35">
      <c r="B23" s="37" t="s">
        <v>37</v>
      </c>
      <c r="C23" s="36"/>
      <c r="D23" s="44"/>
      <c r="E23" s="36"/>
      <c r="F23" s="44"/>
      <c r="G23" s="36"/>
      <c r="H23" s="3"/>
      <c r="I23" s="35" t="s">
        <v>26</v>
      </c>
      <c r="J23" s="36"/>
      <c r="K23" s="40">
        <f>SUM(K21:L22)</f>
        <v>0</v>
      </c>
      <c r="L23" s="36"/>
      <c r="M23" s="62" t="str">
        <f>IF(K23=0,"-",(K21+K22)/K23)</f>
        <v>-</v>
      </c>
      <c r="N23" s="36"/>
    </row>
    <row r="24" spans="1:14" ht="21.75" customHeight="1" x14ac:dyDescent="0.35">
      <c r="B24" s="35" t="s">
        <v>26</v>
      </c>
      <c r="C24" s="36"/>
      <c r="D24" s="63">
        <f>SUM(D21:E23)</f>
        <v>0</v>
      </c>
      <c r="E24" s="64"/>
      <c r="F24" s="63">
        <f>SUM(F21:G23)</f>
        <v>0</v>
      </c>
      <c r="G24" s="64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33" t="s">
        <v>53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7:C7"/>
    <mergeCell ref="M7:N7"/>
    <mergeCell ref="B6:C6"/>
    <mergeCell ref="F6:G6"/>
    <mergeCell ref="D6:E6"/>
    <mergeCell ref="I6:J6"/>
    <mergeCell ref="F7:G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2026-03-17T03:35:46Z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M6Mjg6MjFaIiwicElEIjoyMDQ4LCJ0cmFjZUlkIjoiMTY1QUNBQTA3MjQyNDMzNDhBMzMxMkQ0OUY2Njg0NzciLCJ1c2VyQ29kZSI6ImxpbWp0In0sIm5vZGUyIjp7ImRzZCI6IjAxMDAwMDAwMDAwMDI1OTIiLCJsb2dUaW1lIjoiMjAyNi0wMy0xN1QwMzozMTo1OFoiLCJwSUQiOjEsInRyYWNlSWQiOiI2NEY3NjQ0MTY0RTU0NUMxQTRDMjhERjM1OUQwMzk0MSIsInVzZXJDb2RlIjoibGltanQifSwibm9kZTMiOnsiZHNkIjoiMDAwMDAwMDAwMDAwMDAwMCIsImxvZ1RpbWUiOiIyMDI2LTAzLTE3VDAzOjMyOjA0WiIsInBJRCI6MjA0OCwidHJhY2VJZCI6IjlCQzY3MUJDQjBGQzQyNjNCRDE0Rjc1NDJFNTZEQkVGIiwidXNlckNvZGUiOiJsaW1qdCJ9LCJub2RlNCI6eyJkc2QiOiIwMTAwMDAwMDAwMDAyNTkyIiwibG9nVGltZSI6IjIwMjYtMDMtMTdUMDM6MzU6NDNaIiwicElEIjoxLCJ0cmFjZUlkIjoiRDZEMkMzNTg5MDZFNDg1MUE0NTM2MTJEQzEzNDY4QzkiLCJ1c2VyQ29kZSI6ImxpbWp0In0sIm5vZGU1Ijp7ImRzZCI6IjAwMDAwMDAwMDAwMDAwMDAiLCJsb2dUaW1lIjoiMjAyNi0wMy0xN1QwMzozNTo1OFoiLCJwSUQiOjIwNDgsInRyYWNlSWQiOiIyRkIyNDEyMDZFOTM0NTg1QkMxOEMwNDU3RTY3OEE5MiIsInVzZXJDb2RlIjoibGltanQifSwibm9kZUNvdW50IjoyNH0=</vt:lpwstr>
  </property>
</Properties>
</file>