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bookViews>
    <workbookView xWindow="0" yWindow="0" windowWidth="37140" windowHeight="10845" tabRatio="500"/>
  </bookViews>
  <sheets>
    <sheet name="요약보고서" sheetId="1" r:id="rId1"/>
  </sheets>
  <calcPr calcId="162913"/>
</workbook>
</file>

<file path=xl/calcChain.xml><?xml version="1.0" encoding="utf-8"?>
<calcChain xmlns="http://schemas.openxmlformats.org/spreadsheetml/2006/main">
  <c r="E31" i="1" l="1"/>
  <c r="F31" i="1" l="1"/>
  <c r="E29" i="1"/>
  <c r="G31" i="1"/>
  <c r="F29" i="1"/>
  <c r="L24" i="1"/>
  <c r="D24" i="1"/>
  <c r="F22" i="1" s="1"/>
  <c r="F21" i="1"/>
  <c r="N17" i="1"/>
  <c r="M17" i="1"/>
  <c r="L17" i="1"/>
  <c r="K17" i="1"/>
  <c r="O17" i="1" s="1"/>
  <c r="O16" i="1"/>
  <c r="F16" i="1"/>
  <c r="E16" i="1"/>
  <c r="G16" i="1" s="1"/>
  <c r="D16" i="1"/>
  <c r="O15" i="1"/>
  <c r="G15" i="1"/>
  <c r="O14" i="1"/>
  <c r="G14" i="1"/>
  <c r="O13" i="1"/>
  <c r="G13" i="1"/>
  <c r="O12" i="1"/>
  <c r="G12" i="1"/>
  <c r="O11" i="1"/>
  <c r="G11" i="1"/>
  <c r="H31" i="1" l="1"/>
  <c r="G29" i="1"/>
  <c r="F23" i="1"/>
  <c r="I31" i="1" l="1"/>
  <c r="H29" i="1"/>
  <c r="J31" i="1" l="1"/>
  <c r="I29" i="1"/>
  <c r="K31" i="1" l="1"/>
  <c r="J29" i="1"/>
  <c r="L31" i="1" l="1"/>
  <c r="K29" i="1"/>
  <c r="M31" i="1" l="1"/>
  <c r="L29" i="1"/>
  <c r="O31" i="1" l="1"/>
  <c r="N31" i="1"/>
  <c r="M29" i="1"/>
  <c r="O29" i="1" l="1"/>
  <c r="N29" i="1"/>
</calcChain>
</file>

<file path=xl/sharedStrings.xml><?xml version="1.0" encoding="utf-8"?>
<sst xmlns="http://schemas.openxmlformats.org/spreadsheetml/2006/main" count="72" uniqueCount="63">
  <si>
    <t>임관리비 / 재고 현황 요약 보고서</t>
  </si>
  <si>
    <t>▎ 전체 현황 요약</t>
  </si>
  <si>
    <t>전체</t>
  </si>
  <si>
    <t>폐업</t>
  </si>
  <si>
    <t>출고중</t>
  </si>
  <si>
    <t>보유중</t>
  </si>
  <si>
    <t>▎ 지역별 가맹점 현황</t>
  </si>
  <si>
    <t>▎ 임대자산 현황</t>
  </si>
  <si>
    <t>지역</t>
  </si>
  <si>
    <t>정상운영</t>
  </si>
  <si>
    <t>폐업률</t>
  </si>
  <si>
    <t>구분</t>
  </si>
  <si>
    <t>수량</t>
  </si>
  <si>
    <t>출고</t>
  </si>
  <si>
    <t>보유</t>
  </si>
  <si>
    <t>자산가치(원)</t>
  </si>
  <si>
    <t>출고율</t>
  </si>
  <si>
    <t>충청</t>
  </si>
  <si>
    <t>무상임대(A-1)</t>
  </si>
  <si>
    <t>경기</t>
  </si>
  <si>
    <t>무상임대(A-2)</t>
  </si>
  <si>
    <t>경상</t>
  </si>
  <si>
    <t>유상임대(A-2)</t>
  </si>
  <si>
    <t>강원</t>
  </si>
  <si>
    <t>무상임대(A-3)</t>
  </si>
  <si>
    <t>전라</t>
  </si>
  <si>
    <t>유상임대(A-3)</t>
  </si>
  <si>
    <t>합계</t>
  </si>
  <si>
    <t>중고출고(A-3)</t>
  </si>
  <si>
    <t>▎ 자산 보관 현황</t>
  </si>
  <si>
    <t>▎ 자산별 현황</t>
  </si>
  <si>
    <t>보관위치</t>
  </si>
  <si>
    <t>비율</t>
  </si>
  <si>
    <t>제품</t>
  </si>
  <si>
    <t>출고 대수</t>
  </si>
  <si>
    <t>보관 대수</t>
  </si>
  <si>
    <t>A-1</t>
  </si>
  <si>
    <t>본사보관</t>
  </si>
  <si>
    <t>A-2</t>
  </si>
  <si>
    <t>지사보관</t>
  </si>
  <si>
    <t>A-3</t>
  </si>
  <si>
    <t>'25.01</t>
  </si>
  <si>
    <t>'25.02</t>
  </si>
  <si>
    <t>'25.03</t>
  </si>
  <si>
    <t>'25.04</t>
  </si>
  <si>
    <t>'25.05</t>
  </si>
  <si>
    <t>'25.06</t>
  </si>
  <si>
    <t>'25.07</t>
  </si>
  <si>
    <t>'25.08</t>
  </si>
  <si>
    <t>'25.09</t>
  </si>
  <si>
    <t>'25.10</t>
  </si>
  <si>
    <t>'25.11</t>
  </si>
  <si>
    <t>'25.12</t>
  </si>
  <si>
    <t>임관리비 납부금액</t>
  </si>
  <si>
    <t>전월대비</t>
  </si>
  <si>
    <t>임대자산 출고</t>
  </si>
  <si>
    <t>-</t>
  </si>
  <si>
    <t>정상운영</t>
    <phoneticPr fontId="3" type="noConversion"/>
  </si>
  <si>
    <t>-</t>
    <phoneticPr fontId="3" type="noConversion"/>
  </si>
  <si>
    <t>해당연월</t>
    <phoneticPr fontId="3" type="noConversion"/>
  </si>
  <si>
    <t>▎ 월별 임관리비 납부 및 임대자산 출고 추이</t>
    <phoneticPr fontId="3" type="noConversion"/>
  </si>
  <si>
    <t xml:space="preserve"> 가맹점</t>
    <phoneticPr fontId="3" type="noConversion"/>
  </si>
  <si>
    <t xml:space="preserve"> 재고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</si>
</sst>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0.0%"/>
    <numFmt numFmtId="177" formatCode="\+0.0%;\-0.0%"/>
    <numFmt numFmtId="178" formatCode="_(* #,##0_);_(* \(#,##0\);_(* \-_);_(@_)"/>
  </numFmts>
  <fonts count="12" x14ac:knownFonts="1">
    <font>
      <sz val="11"/>
      <color theme="1"/>
      <name val="맑은 고딕"/>
      <family val="2"/>
      <charset val="129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2"/>
      <color theme="1"/>
      <name val="G마켓 산스 TTF Medium"/>
      <family val="3"/>
      <charset val="129"/>
    </font>
    <font>
      <b/>
      <sz val="12"/>
      <color rgb="FFFFFFFF"/>
      <name val="맑은 고딕"/>
      <family val="3"/>
      <charset val="129"/>
    </font>
    <font>
      <b/>
      <sz val="12"/>
      <color rgb="FF666666"/>
      <name val="맑은 고딕"/>
      <family val="3"/>
      <charset val="129"/>
    </font>
    <font>
      <b/>
      <sz val="12"/>
      <color rgb="FF1F3864"/>
      <name val="맑은 고딕"/>
      <family val="3"/>
      <charset val="129"/>
    </font>
    <font>
      <sz val="12"/>
      <color theme="1"/>
      <name val="맑은 고딕"/>
      <family val="3"/>
      <charset val="129"/>
    </font>
    <font>
      <b/>
      <sz val="12"/>
      <name val="맑은 고딕"/>
      <family val="3"/>
      <charset val="129"/>
    </font>
    <font>
      <sz val="12"/>
      <name val="맑은 고딕"/>
      <family val="3"/>
      <charset val="129"/>
    </font>
    <font>
      <b/>
      <sz val="22"/>
      <color rgb="FF1F3864"/>
      <name val="G마켓 산스 TTF Medium"/>
      <family val="3"/>
      <charset val="129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203864"/>
      </patternFill>
    </fill>
    <fill>
      <patternFill patternType="solid">
        <fgColor rgb="FFD6E4F0"/>
        <bgColor rgb="FFDAE3F3"/>
      </patternFill>
    </fill>
    <fill>
      <patternFill patternType="solid">
        <fgColor rgb="FFE2EFDA"/>
        <bgColor rgb="FFEDEDED"/>
      </patternFill>
    </fill>
    <fill>
      <patternFill patternType="solid">
        <fgColor rgb="FFFBE5D6"/>
        <bgColor rgb="FFFFF2CC"/>
      </patternFill>
    </fill>
    <fill>
      <patternFill patternType="solid">
        <fgColor rgb="FFF2F2F2"/>
        <bgColor rgb="FFEDEDED"/>
      </patternFill>
    </fill>
    <fill>
      <patternFill patternType="solid">
        <fgColor rgb="FF4472C4"/>
        <bgColor rgb="FF2F5597"/>
      </patternFill>
    </fill>
    <fill>
      <patternFill patternType="solid">
        <fgColor rgb="FFFFFFFF"/>
        <bgColor rgb="FFFFF7E1"/>
      </patternFill>
    </fill>
    <fill>
      <patternFill patternType="solid">
        <fgColor rgb="FFD6DCE4"/>
        <bgColor rgb="FFD6E4F0"/>
      </patternFill>
    </fill>
    <fill>
      <patternFill patternType="solid">
        <fgColor theme="8" tint="-0.249977111117893"/>
        <bgColor rgb="FF203864"/>
      </patternFill>
    </fill>
    <fill>
      <patternFill patternType="solid">
        <fgColor theme="5" tint="-0.249977111117893"/>
        <bgColor rgb="FF2038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9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/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/>
      <top/>
      <bottom style="thin">
        <color rgb="FFB4C6E7"/>
      </bottom>
      <diagonal/>
    </border>
    <border>
      <left/>
      <right/>
      <top/>
      <bottom style="thin">
        <color rgb="FFB4C6E7"/>
      </bottom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/>
      <diagonal/>
    </border>
    <border>
      <left style="thin">
        <color theme="8"/>
      </left>
      <right style="hair">
        <color theme="8"/>
      </right>
      <top style="thin">
        <color theme="8"/>
      </top>
      <bottom style="hair">
        <color theme="8"/>
      </bottom>
      <diagonal/>
    </border>
    <border>
      <left style="hair">
        <color theme="8"/>
      </left>
      <right style="hair">
        <color theme="8"/>
      </right>
      <top style="thin">
        <color theme="8"/>
      </top>
      <bottom style="hair">
        <color theme="8"/>
      </bottom>
      <diagonal/>
    </border>
    <border>
      <left style="hair">
        <color theme="8"/>
      </left>
      <right style="thin">
        <color theme="8"/>
      </right>
      <top style="thin">
        <color theme="8"/>
      </top>
      <bottom style="hair">
        <color theme="8"/>
      </bottom>
      <diagonal/>
    </border>
    <border>
      <left style="thin">
        <color theme="8"/>
      </left>
      <right style="hair">
        <color theme="8"/>
      </right>
      <top style="hair">
        <color theme="8"/>
      </top>
      <bottom style="thin">
        <color theme="8"/>
      </bottom>
      <diagonal/>
    </border>
    <border>
      <left style="hair">
        <color theme="8"/>
      </left>
      <right style="hair">
        <color theme="8"/>
      </right>
      <top style="hair">
        <color theme="8"/>
      </top>
      <bottom style="thin">
        <color theme="8"/>
      </bottom>
      <diagonal/>
    </border>
    <border>
      <left style="hair">
        <color theme="8"/>
      </left>
      <right style="thin">
        <color theme="8"/>
      </right>
      <top style="hair">
        <color theme="8"/>
      </top>
      <bottom style="thin">
        <color theme="8"/>
      </bottom>
      <diagonal/>
    </border>
    <border>
      <left/>
      <right style="thin">
        <color rgb="FFB4C6E7"/>
      </right>
      <top/>
      <bottom/>
      <diagonal/>
    </border>
    <border>
      <left style="thin">
        <color rgb="FFB4C6E7"/>
      </left>
      <right style="thin">
        <color rgb="FFB4C6E7"/>
      </right>
      <top/>
      <bottom/>
      <diagonal/>
    </border>
    <border>
      <left/>
      <right style="hair">
        <color theme="8"/>
      </right>
      <top style="thin">
        <color theme="8"/>
      </top>
      <bottom style="hair">
        <color theme="8"/>
      </bottom>
      <diagonal/>
    </border>
    <border>
      <left/>
      <right style="hair">
        <color theme="8"/>
      </right>
      <top style="hair">
        <color theme="8"/>
      </top>
      <bottom style="thin">
        <color theme="8"/>
      </bottom>
      <diagonal/>
    </border>
  </borders>
  <cellStyleXfs count="5">
    <xf numFmtId="0" fontId="0" fillId="0" borderId="0">
      <alignment vertical="center"/>
    </xf>
    <xf numFmtId="178" fontId="2" fillId="0" borderId="0">
      <alignment vertical="center"/>
    </xf>
    <xf numFmtId="178" fontId="2" fillId="0" borderId="0">
      <alignment vertical="center"/>
    </xf>
    <xf numFmtId="0" fontId="1" fillId="0" borderId="0">
      <alignment vertical="center"/>
    </xf>
    <xf numFmtId="178" fontId="2" fillId="0" borderId="0">
      <alignment vertical="center"/>
    </xf>
  </cellStyleXfs>
  <cellXfs count="65">
    <xf numFmtId="0" fontId="0" fillId="0" borderId="0" xfId="0" applyAlignment="1">
      <alignment vertical="center"/>
    </xf>
    <xf numFmtId="0" fontId="4" fillId="0" borderId="0" xfId="0" applyFont="1" applyAlignment="1"/>
    <xf numFmtId="0" fontId="4" fillId="0" borderId="0" xfId="0" applyFont="1" applyAlignment="1">
      <alignment vertical="center"/>
    </xf>
    <xf numFmtId="0" fontId="8" fillId="0" borderId="0" xfId="0" applyFont="1" applyAlignment="1"/>
    <xf numFmtId="0" fontId="8" fillId="0" borderId="0" xfId="0" applyFont="1" applyAlignment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center" vertical="center" wrapText="1"/>
    </xf>
    <xf numFmtId="3" fontId="10" fillId="8" borderId="1" xfId="0" applyNumberFormat="1" applyFont="1" applyFill="1" applyBorder="1" applyAlignment="1">
      <alignment horizontal="center" vertical="center" wrapText="1"/>
    </xf>
    <xf numFmtId="3" fontId="9" fillId="9" borderId="1" xfId="0" applyNumberFormat="1" applyFont="1" applyFill="1" applyBorder="1" applyAlignment="1">
      <alignment horizontal="center" vertical="center" wrapText="1"/>
    </xf>
    <xf numFmtId="0" fontId="5" fillId="7" borderId="8" xfId="0" applyFont="1" applyFill="1" applyBorder="1" applyAlignment="1">
      <alignment horizontal="center" vertical="center" wrapText="1"/>
    </xf>
    <xf numFmtId="3" fontId="10" fillId="0" borderId="10" xfId="0" applyNumberFormat="1" applyFont="1" applyBorder="1" applyAlignment="1">
      <alignment horizontal="center" vertical="center" wrapText="1"/>
    </xf>
    <xf numFmtId="3" fontId="10" fillId="0" borderId="11" xfId="0" applyNumberFormat="1" applyFont="1" applyBorder="1" applyAlignment="1">
      <alignment horizontal="center" vertical="center" wrapText="1"/>
    </xf>
    <xf numFmtId="3" fontId="10" fillId="0" borderId="13" xfId="0" applyNumberFormat="1" applyFont="1" applyBorder="1" applyAlignment="1">
      <alignment horizontal="center" vertical="center" wrapText="1"/>
    </xf>
    <xf numFmtId="0" fontId="10" fillId="0" borderId="13" xfId="0" applyFont="1" applyBorder="1" applyAlignment="1">
      <alignment horizontal="center" vertical="center" wrapText="1"/>
    </xf>
    <xf numFmtId="176" fontId="10" fillId="6" borderId="1" xfId="0" applyNumberFormat="1" applyFont="1" applyFill="1" applyBorder="1" applyAlignment="1">
      <alignment horizontal="center" vertical="center" wrapText="1"/>
    </xf>
    <xf numFmtId="176" fontId="10" fillId="8" borderId="1" xfId="0" applyNumberFormat="1" applyFont="1" applyFill="1" applyBorder="1" applyAlignment="1">
      <alignment horizontal="center" vertical="center" wrapText="1"/>
    </xf>
    <xf numFmtId="176" fontId="9" fillId="9" borderId="1" xfId="0" applyNumberFormat="1" applyFont="1" applyFill="1" applyBorder="1" applyAlignment="1">
      <alignment horizontal="center" vertical="center" wrapText="1"/>
    </xf>
    <xf numFmtId="177" fontId="10" fillId="0" borderId="13" xfId="0" applyNumberFormat="1" applyFont="1" applyBorder="1" applyAlignment="1">
      <alignment horizontal="center" vertical="center" wrapText="1"/>
    </xf>
    <xf numFmtId="177" fontId="10" fillId="0" borderId="14" xfId="0" applyNumberFormat="1" applyFont="1" applyBorder="1" applyAlignment="1">
      <alignment horizontal="center" vertical="center" wrapText="1"/>
    </xf>
    <xf numFmtId="0" fontId="5" fillId="2" borderId="5" xfId="0" applyFont="1" applyFill="1" applyBorder="1" applyAlignment="1">
      <alignment vertical="center" wrapText="1"/>
    </xf>
    <xf numFmtId="0" fontId="0" fillId="0" borderId="6" xfId="0" applyBorder="1" applyAlignment="1"/>
    <xf numFmtId="0" fontId="5" fillId="7" borderId="1" xfId="0" applyFont="1" applyFill="1" applyBorder="1" applyAlignment="1">
      <alignment horizontal="center" vertical="center" wrapText="1"/>
    </xf>
    <xf numFmtId="0" fontId="0" fillId="0" borderId="4" xfId="0" applyBorder="1" applyAlignment="1"/>
    <xf numFmtId="0" fontId="9" fillId="9" borderId="16" xfId="0" applyFont="1" applyFill="1" applyBorder="1" applyAlignment="1">
      <alignment horizontal="center" vertical="center" wrapText="1"/>
    </xf>
    <xf numFmtId="0" fontId="0" fillId="0" borderId="15" xfId="0" applyBorder="1" applyAlignment="1"/>
    <xf numFmtId="3" fontId="7" fillId="4" borderId="1" xfId="0" applyNumberFormat="1" applyFont="1" applyFill="1" applyBorder="1" applyAlignment="1">
      <alignment horizontal="center" vertical="center" wrapText="1"/>
    </xf>
    <xf numFmtId="3" fontId="7" fillId="3" borderId="1" xfId="0" applyNumberFormat="1" applyFont="1" applyFill="1" applyBorder="1" applyAlignment="1">
      <alignment horizontal="center" vertical="center" wrapText="1"/>
    </xf>
    <xf numFmtId="3" fontId="7" fillId="5" borderId="1" xfId="0" applyNumberFormat="1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3" fontId="10" fillId="8" borderId="1" xfId="0" applyNumberFormat="1" applyFont="1" applyFill="1" applyBorder="1" applyAlignment="1">
      <alignment horizontal="center" vertical="center" wrapText="1"/>
    </xf>
    <xf numFmtId="0" fontId="9" fillId="12" borderId="12" xfId="0" applyFont="1" applyFill="1" applyBorder="1" applyAlignment="1">
      <alignment horizontal="center" vertical="center" wrapText="1"/>
    </xf>
    <xf numFmtId="0" fontId="0" fillId="0" borderId="18" xfId="0" applyBorder="1" applyAlignment="1"/>
    <xf numFmtId="0" fontId="5" fillId="7" borderId="8" xfId="0" applyFont="1" applyFill="1" applyBorder="1" applyAlignment="1">
      <alignment horizontal="center" vertical="center" wrapText="1"/>
    </xf>
    <xf numFmtId="0" fontId="0" fillId="0" borderId="2" xfId="0" applyBorder="1" applyAlignment="1"/>
    <xf numFmtId="3" fontId="10" fillId="6" borderId="1" xfId="0" applyNumberFormat="1" applyFont="1" applyFill="1" applyBorder="1" applyAlignment="1">
      <alignment horizontal="center" vertical="center" wrapText="1"/>
    </xf>
    <xf numFmtId="176" fontId="10" fillId="6" borderId="1" xfId="0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0" fillId="0" borderId="3" xfId="0" applyBorder="1" applyAlignment="1"/>
    <xf numFmtId="0" fontId="9" fillId="6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176" fontId="9" fillId="9" borderId="1" xfId="0" quotePrefix="1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4" fillId="0" borderId="0" xfId="0" applyFont="1" applyAlignment="1"/>
    <xf numFmtId="0" fontId="5" fillId="2" borderId="7" xfId="0" applyFont="1" applyFill="1" applyBorder="1" applyAlignment="1">
      <alignment vertical="center" wrapText="1"/>
    </xf>
    <xf numFmtId="0" fontId="9" fillId="13" borderId="12" xfId="0" applyFont="1" applyFill="1" applyBorder="1" applyAlignment="1">
      <alignment horizontal="center" vertical="center" wrapText="1"/>
    </xf>
    <xf numFmtId="0" fontId="9" fillId="13" borderId="9" xfId="0" applyFont="1" applyFill="1" applyBorder="1" applyAlignment="1">
      <alignment horizontal="center" vertical="center" wrapText="1"/>
    </xf>
    <xf numFmtId="0" fontId="0" fillId="0" borderId="17" xfId="0" applyBorder="1" applyAlignment="1"/>
    <xf numFmtId="176" fontId="10" fillId="8" borderId="1" xfId="0" applyNumberFormat="1" applyFont="1" applyFill="1" applyBorder="1" applyAlignment="1">
      <alignment horizontal="center" vertical="center" wrapText="1"/>
    </xf>
    <xf numFmtId="3" fontId="9" fillId="9" borderId="1" xfId="0" applyNumberFormat="1" applyFont="1" applyFill="1" applyBorder="1" applyAlignment="1">
      <alignment horizontal="center" vertical="center" wrapText="1"/>
    </xf>
    <xf numFmtId="0" fontId="9" fillId="12" borderId="9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vertical="center" wrapText="1"/>
    </xf>
    <xf numFmtId="0" fontId="10" fillId="6" borderId="1" xfId="0" applyFont="1" applyFill="1" applyBorder="1" applyAlignment="1">
      <alignment horizontal="center" vertical="center" shrinkToFit="1"/>
    </xf>
    <xf numFmtId="0" fontId="10" fillId="8" borderId="1" xfId="0" applyFont="1" applyFill="1" applyBorder="1" applyAlignment="1">
      <alignment horizontal="center" vertical="center" shrinkToFit="1"/>
    </xf>
    <xf numFmtId="3" fontId="10" fillId="6" borderId="1" xfId="0" applyNumberFormat="1" applyFont="1" applyFill="1" applyBorder="1" applyAlignment="1">
      <alignment horizontal="center" vertical="center" shrinkToFit="1"/>
    </xf>
    <xf numFmtId="3" fontId="10" fillId="8" borderId="1" xfId="0" applyNumberFormat="1" applyFont="1" applyFill="1" applyBorder="1" applyAlignment="1">
      <alignment horizontal="center" vertical="center" shrinkToFit="1"/>
    </xf>
    <xf numFmtId="3" fontId="9" fillId="9" borderId="1" xfId="0" applyNumberFormat="1" applyFont="1" applyFill="1" applyBorder="1" applyAlignment="1">
      <alignment horizontal="center" vertical="center" shrinkToFit="1"/>
    </xf>
    <xf numFmtId="3" fontId="10" fillId="0" borderId="10" xfId="0" applyNumberFormat="1" applyFont="1" applyBorder="1" applyAlignment="1">
      <alignment horizontal="center" vertical="center" shrinkToFit="1"/>
    </xf>
    <xf numFmtId="3" fontId="10" fillId="0" borderId="11" xfId="0" applyNumberFormat="1" applyFont="1" applyBorder="1" applyAlignment="1">
      <alignment horizontal="center" vertical="center" shrinkToFit="1"/>
    </xf>
    <xf numFmtId="0" fontId="0" fillId="0" borderId="3" xfId="0" applyBorder="1" applyAlignment="1">
      <alignment horizontal="left"/>
    </xf>
    <xf numFmtId="0" fontId="5" fillId="10" borderId="7" xfId="0" quotePrefix="1" applyFont="1" applyFill="1" applyBorder="1" applyAlignment="1">
      <alignment horizontal="left" vertical="center" wrapText="1"/>
    </xf>
    <xf numFmtId="0" fontId="5" fillId="11" borderId="7" xfId="0" quotePrefix="1" applyFont="1" applyFill="1" applyBorder="1" applyAlignment="1">
      <alignment horizontal="left" vertical="center" wrapText="1"/>
    </xf>
  </cellXfs>
  <cellStyles count="5">
    <cellStyle name="Excel Built-in Comma [0]" xfId="4"/>
    <cellStyle name="쉼표 [0] 2" xfId="1"/>
    <cellStyle name="쉼표 [0] 3" xfId="2"/>
    <cellStyle name="표준" xfId="0" builtinId="0"/>
    <cellStyle name="표준 2 5" xfId="3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7E1"/>
      <rgbColor rgb="FFD6E4F0"/>
      <rgbColor rgb="FF660066"/>
      <rgbColor rgb="FFFF8080"/>
      <rgbColor rgb="FF0066CC"/>
      <rgbColor rgb="FFB4C6E7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DAE3F3"/>
      <rgbColor rgb="FFE2EFDA"/>
      <rgbColor rgb="FFFFF2CC"/>
      <rgbColor rgb="FFD6DCE4"/>
      <rgbColor rgb="FFFBE5D6"/>
      <rgbColor rgb="FFEDEDED"/>
      <rgbColor rgb="FFFFC7CE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2F5597"/>
      <rgbColor rgb="FF20386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800" b="1"/>
              <a:t>▎ 월별 임관리비 납부 및 임대자산 출고 추이</a:t>
            </a:r>
            <a:r>
              <a:rPr lang="en-US" altLang="ko-KR" sz="1800" b="1"/>
              <a:t>(</a:t>
            </a:r>
            <a:r>
              <a:rPr lang="ko-KR" altLang="en-US" sz="1800" b="1"/>
              <a:t>그래프</a:t>
            </a:r>
            <a:r>
              <a:rPr lang="en-US" altLang="ko-KR" sz="1800" b="1"/>
              <a:t>)</a:t>
            </a:r>
            <a:endParaRPr lang="ko-KR" altLang="en-US" sz="1800" b="1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요약보고서!$B$28</c:f>
              <c:strCache>
                <c:ptCount val="1"/>
                <c:pt idx="0">
                  <c:v>임관리비 납부금액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요약보고서!$C$27:$O$27</c15:sqref>
                  </c15:fullRef>
                </c:ext>
              </c:extLst>
              <c:f>요약보고서!$D$27:$O$27</c:f>
              <c:strCache>
                <c:ptCount val="12"/>
                <c:pt idx="0">
                  <c:v>'25.01</c:v>
                </c:pt>
                <c:pt idx="1">
                  <c:v>'25.02</c:v>
                </c:pt>
                <c:pt idx="2">
                  <c:v>'25.03</c:v>
                </c:pt>
                <c:pt idx="3">
                  <c:v>'25.04</c:v>
                </c:pt>
                <c:pt idx="4">
                  <c:v>'25.05</c:v>
                </c:pt>
                <c:pt idx="5">
                  <c:v>'25.06</c:v>
                </c:pt>
                <c:pt idx="6">
                  <c:v>'25.07</c:v>
                </c:pt>
                <c:pt idx="7">
                  <c:v>'25.08</c:v>
                </c:pt>
                <c:pt idx="8">
                  <c:v>'25.09</c:v>
                </c:pt>
                <c:pt idx="9">
                  <c:v>'25.10</c:v>
                </c:pt>
                <c:pt idx="10">
                  <c:v>'25.11</c:v>
                </c:pt>
                <c:pt idx="11">
                  <c:v>'25.12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요약보고서!$C$28:$O$28</c15:sqref>
                  </c15:fullRef>
                </c:ext>
              </c:extLst>
              <c:f>요약보고서!$D$28:$O$28</c:f>
              <c:numCache>
                <c:formatCode>#,##0</c:formatCode>
                <c:ptCount val="1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F1-484C-972A-AA538BF060E8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10948831"/>
        <c:axId val="1310958399"/>
      </c:lineChart>
      <c:lineChart>
        <c:grouping val="stacked"/>
        <c:varyColors val="0"/>
        <c:ser>
          <c:idx val="1"/>
          <c:order val="1"/>
          <c:tx>
            <c:strRef>
              <c:f>요약보고서!$B$30</c:f>
              <c:strCache>
                <c:ptCount val="1"/>
                <c:pt idx="0">
                  <c:v>임대자산 출고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요약보고서!$C$27:$O$27</c15:sqref>
                  </c15:fullRef>
                </c:ext>
              </c:extLst>
              <c:f>요약보고서!$D$27:$O$27</c:f>
              <c:strCache>
                <c:ptCount val="12"/>
                <c:pt idx="0">
                  <c:v>'25.01</c:v>
                </c:pt>
                <c:pt idx="1">
                  <c:v>'25.02</c:v>
                </c:pt>
                <c:pt idx="2">
                  <c:v>'25.03</c:v>
                </c:pt>
                <c:pt idx="3">
                  <c:v>'25.04</c:v>
                </c:pt>
                <c:pt idx="4">
                  <c:v>'25.05</c:v>
                </c:pt>
                <c:pt idx="5">
                  <c:v>'25.06</c:v>
                </c:pt>
                <c:pt idx="6">
                  <c:v>'25.07</c:v>
                </c:pt>
                <c:pt idx="7">
                  <c:v>'25.08</c:v>
                </c:pt>
                <c:pt idx="8">
                  <c:v>'25.09</c:v>
                </c:pt>
                <c:pt idx="9">
                  <c:v>'25.10</c:v>
                </c:pt>
                <c:pt idx="10">
                  <c:v>'25.11</c:v>
                </c:pt>
                <c:pt idx="11">
                  <c:v>'25.12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요약보고서!$C$30:$O$30</c15:sqref>
                  </c15:fullRef>
                </c:ext>
              </c:extLst>
              <c:f>요약보고서!$D$30:$O$30</c:f>
              <c:numCache>
                <c:formatCode>#,##0</c:formatCode>
                <c:ptCount val="1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DF1-484C-972A-AA538BF060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1033279"/>
        <c:axId val="1311023295"/>
      </c:lineChart>
      <c:catAx>
        <c:axId val="1310948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10958399"/>
        <c:crosses val="autoZero"/>
        <c:auto val="1"/>
        <c:lblAlgn val="ctr"/>
        <c:lblOffset val="100"/>
        <c:noMultiLvlLbl val="0"/>
      </c:catAx>
      <c:valAx>
        <c:axId val="1310958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10948831"/>
        <c:crosses val="autoZero"/>
        <c:crossBetween val="between"/>
      </c:valAx>
      <c:valAx>
        <c:axId val="1311023295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11033279"/>
        <c:crosses val="max"/>
        <c:crossBetween val="between"/>
      </c:valAx>
      <c:catAx>
        <c:axId val="131103327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11023295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145676</xdr:colOff>
      <xdr:row>31</xdr:row>
      <xdr:rowOff>45942</xdr:rowOff>
    </xdr:from>
    <xdr:to>
      <xdr:col>15</xdr:col>
      <xdr:colOff>11206</xdr:colOff>
      <xdr:row>49</xdr:row>
      <xdr:rowOff>212912</xdr:rowOff>
    </xdr:to>
    <xdr:graphicFrame macro="">
      <xdr:nvGraphicFramePr>
        <xdr:cNvPr id="5" name="차트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31"/>
  <sheetViews>
    <sheetView showGridLines="0" tabSelected="1" zoomScale="85" zoomScaleNormal="85" workbookViewId="0">
      <selection activeCell="V13" sqref="V13"/>
    </sheetView>
  </sheetViews>
  <sheetFormatPr defaultColWidth="8.5" defaultRowHeight="17.25" x14ac:dyDescent="0.35"/>
  <cols>
    <col min="1" max="1" width="2" style="1" customWidth="1"/>
    <col min="2" max="3" width="13" style="1" customWidth="1"/>
    <col min="4" max="15" width="13.125" style="1" customWidth="1"/>
    <col min="16" max="16" width="8.5" style="2" customWidth="1"/>
    <col min="17" max="16384" width="8.5" style="2"/>
  </cols>
  <sheetData>
    <row r="1" spans="2:15" ht="4.5" customHeight="1" x14ac:dyDescent="0.35"/>
    <row r="2" spans="2:15" ht="31.5" customHeight="1" x14ac:dyDescent="0.35">
      <c r="B2" s="45" t="s">
        <v>0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</row>
    <row r="3" spans="2:15" ht="7.5" customHeight="1" x14ac:dyDescent="0.35"/>
    <row r="4" spans="2:15" ht="27.75" customHeight="1" x14ac:dyDescent="0.35">
      <c r="B4" s="20" t="s">
        <v>1</v>
      </c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</row>
    <row r="5" spans="2:15" ht="27.75" customHeight="1" x14ac:dyDescent="0.35">
      <c r="B5" s="63" t="s">
        <v>61</v>
      </c>
      <c r="C5" s="62"/>
      <c r="D5" s="62"/>
      <c r="E5" s="62"/>
      <c r="F5" s="62"/>
      <c r="G5" s="62"/>
      <c r="H5" s="2"/>
      <c r="I5" s="2"/>
      <c r="J5" s="64" t="s">
        <v>62</v>
      </c>
      <c r="K5" s="62"/>
      <c r="L5" s="62"/>
      <c r="M5" s="62"/>
      <c r="N5" s="62"/>
      <c r="O5" s="62"/>
    </row>
    <row r="6" spans="2:15" ht="26.25" customHeight="1" x14ac:dyDescent="0.35">
      <c r="B6" s="43" t="s">
        <v>2</v>
      </c>
      <c r="C6" s="23"/>
      <c r="D6" s="41" t="s">
        <v>57</v>
      </c>
      <c r="E6" s="23"/>
      <c r="F6" s="30" t="s">
        <v>3</v>
      </c>
      <c r="G6" s="23"/>
      <c r="H6" s="2"/>
      <c r="I6" s="2"/>
      <c r="J6" s="43" t="s">
        <v>2</v>
      </c>
      <c r="K6" s="23"/>
      <c r="L6" s="41" t="s">
        <v>4</v>
      </c>
      <c r="M6" s="23"/>
      <c r="N6" s="30" t="s">
        <v>5</v>
      </c>
      <c r="O6" s="23"/>
    </row>
    <row r="7" spans="2:15" ht="26.25" customHeight="1" x14ac:dyDescent="0.35">
      <c r="B7" s="27">
        <v>1962</v>
      </c>
      <c r="C7" s="23"/>
      <c r="D7" s="26">
        <v>1891</v>
      </c>
      <c r="E7" s="23"/>
      <c r="F7" s="28">
        <v>71</v>
      </c>
      <c r="G7" s="23"/>
      <c r="H7" s="2"/>
      <c r="I7" s="2"/>
      <c r="J7" s="27">
        <v>1962</v>
      </c>
      <c r="K7" s="23"/>
      <c r="L7" s="26">
        <v>1865</v>
      </c>
      <c r="M7" s="23"/>
      <c r="N7" s="28">
        <v>71</v>
      </c>
      <c r="O7" s="23"/>
    </row>
    <row r="8" spans="2:15" ht="10.5" customHeight="1" x14ac:dyDescent="0.35">
      <c r="B8" s="3"/>
      <c r="C8" s="3"/>
      <c r="D8" s="3"/>
      <c r="E8" s="3"/>
      <c r="F8" s="3"/>
      <c r="G8" s="3"/>
      <c r="H8" s="2"/>
      <c r="I8" s="2"/>
      <c r="J8" s="3"/>
      <c r="K8" s="3"/>
      <c r="L8" s="3"/>
      <c r="M8" s="3"/>
      <c r="N8" s="3"/>
      <c r="O8" s="3"/>
    </row>
    <row r="9" spans="2:15" ht="27.75" customHeight="1" x14ac:dyDescent="0.35">
      <c r="B9" s="47" t="s">
        <v>6</v>
      </c>
      <c r="C9" s="39"/>
      <c r="D9" s="39"/>
      <c r="E9" s="39"/>
      <c r="F9" s="39"/>
      <c r="G9" s="39"/>
      <c r="H9" s="2"/>
      <c r="I9" s="4"/>
      <c r="J9" s="54" t="s">
        <v>7</v>
      </c>
      <c r="K9" s="39"/>
      <c r="L9" s="39"/>
      <c r="M9" s="39"/>
      <c r="N9" s="39"/>
      <c r="O9" s="23"/>
    </row>
    <row r="10" spans="2:15" ht="21.75" customHeight="1" x14ac:dyDescent="0.35">
      <c r="B10" s="34" t="s">
        <v>8</v>
      </c>
      <c r="C10" s="35"/>
      <c r="D10" s="6" t="s">
        <v>2</v>
      </c>
      <c r="E10" s="6" t="s">
        <v>9</v>
      </c>
      <c r="F10" s="6" t="s">
        <v>3</v>
      </c>
      <c r="G10" s="6" t="s">
        <v>10</v>
      </c>
      <c r="H10" s="2"/>
      <c r="I10" s="4"/>
      <c r="J10" s="6" t="s">
        <v>11</v>
      </c>
      <c r="K10" s="6" t="s">
        <v>12</v>
      </c>
      <c r="L10" s="6" t="s">
        <v>13</v>
      </c>
      <c r="M10" s="6" t="s">
        <v>14</v>
      </c>
      <c r="N10" s="6" t="s">
        <v>15</v>
      </c>
      <c r="O10" s="6" t="s">
        <v>16</v>
      </c>
    </row>
    <row r="11" spans="2:15" ht="21.75" customHeight="1" x14ac:dyDescent="0.35">
      <c r="B11" s="40" t="s">
        <v>17</v>
      </c>
      <c r="C11" s="23"/>
      <c r="D11" s="7"/>
      <c r="E11" s="7"/>
      <c r="F11" s="7"/>
      <c r="G11" s="15" t="str">
        <f t="shared" ref="G11:G16" si="0">IF(E11=0,"-",F11/D11)</f>
        <v>-</v>
      </c>
      <c r="H11" s="2"/>
      <c r="I11" s="4"/>
      <c r="J11" s="55" t="s">
        <v>18</v>
      </c>
      <c r="K11" s="7"/>
      <c r="L11" s="7"/>
      <c r="M11" s="7"/>
      <c r="N11" s="57"/>
      <c r="O11" s="15" t="str">
        <f t="shared" ref="O11:O17" si="1">IF(K11=0,"-",L11/K11)</f>
        <v>-</v>
      </c>
    </row>
    <row r="12" spans="2:15" ht="21.75" customHeight="1" x14ac:dyDescent="0.35">
      <c r="B12" s="29" t="s">
        <v>19</v>
      </c>
      <c r="C12" s="23"/>
      <c r="D12" s="8"/>
      <c r="E12" s="8"/>
      <c r="F12" s="8"/>
      <c r="G12" s="16" t="str">
        <f t="shared" si="0"/>
        <v>-</v>
      </c>
      <c r="H12" s="2"/>
      <c r="I12" s="4"/>
      <c r="J12" s="56" t="s">
        <v>20</v>
      </c>
      <c r="K12" s="8"/>
      <c r="L12" s="8"/>
      <c r="M12" s="8"/>
      <c r="N12" s="58"/>
      <c r="O12" s="16" t="str">
        <f t="shared" si="1"/>
        <v>-</v>
      </c>
    </row>
    <row r="13" spans="2:15" ht="21.75" customHeight="1" x14ac:dyDescent="0.35">
      <c r="B13" s="40" t="s">
        <v>21</v>
      </c>
      <c r="C13" s="23"/>
      <c r="D13" s="7"/>
      <c r="E13" s="7"/>
      <c r="F13" s="7"/>
      <c r="G13" s="15" t="str">
        <f t="shared" si="0"/>
        <v>-</v>
      </c>
      <c r="H13" s="2"/>
      <c r="I13" s="4"/>
      <c r="J13" s="55" t="s">
        <v>22</v>
      </c>
      <c r="K13" s="7"/>
      <c r="L13" s="7"/>
      <c r="M13" s="7"/>
      <c r="N13" s="57"/>
      <c r="O13" s="15" t="str">
        <f t="shared" si="1"/>
        <v>-</v>
      </c>
    </row>
    <row r="14" spans="2:15" ht="21.75" customHeight="1" x14ac:dyDescent="0.35">
      <c r="B14" s="29" t="s">
        <v>23</v>
      </c>
      <c r="C14" s="23"/>
      <c r="D14" s="8"/>
      <c r="E14" s="8"/>
      <c r="F14" s="8"/>
      <c r="G14" s="16" t="str">
        <f t="shared" si="0"/>
        <v>-</v>
      </c>
      <c r="H14" s="2"/>
      <c r="I14" s="4"/>
      <c r="J14" s="56" t="s">
        <v>24</v>
      </c>
      <c r="K14" s="8"/>
      <c r="L14" s="8"/>
      <c r="M14" s="8"/>
      <c r="N14" s="58"/>
      <c r="O14" s="16" t="str">
        <f t="shared" si="1"/>
        <v>-</v>
      </c>
    </row>
    <row r="15" spans="2:15" ht="21.75" customHeight="1" x14ac:dyDescent="0.35">
      <c r="B15" s="40" t="s">
        <v>25</v>
      </c>
      <c r="C15" s="23"/>
      <c r="D15" s="7"/>
      <c r="E15" s="7"/>
      <c r="F15" s="7"/>
      <c r="G15" s="15" t="str">
        <f t="shared" si="0"/>
        <v>-</v>
      </c>
      <c r="H15" s="2"/>
      <c r="I15" s="4"/>
      <c r="J15" s="55" t="s">
        <v>26</v>
      </c>
      <c r="K15" s="7"/>
      <c r="L15" s="7"/>
      <c r="M15" s="7"/>
      <c r="N15" s="57"/>
      <c r="O15" s="15" t="str">
        <f t="shared" si="1"/>
        <v>-</v>
      </c>
    </row>
    <row r="16" spans="2:15" ht="21.75" customHeight="1" x14ac:dyDescent="0.35">
      <c r="B16" s="24" t="s">
        <v>27</v>
      </c>
      <c r="C16" s="25"/>
      <c r="D16" s="9">
        <f>SUM(D11:D15)</f>
        <v>0</v>
      </c>
      <c r="E16" s="9">
        <f>SUM(E11:E15)</f>
        <v>0</v>
      </c>
      <c r="F16" s="9">
        <f>SUM(F11:F15)</f>
        <v>0</v>
      </c>
      <c r="G16" s="17" t="str">
        <f t="shared" si="0"/>
        <v>-</v>
      </c>
      <c r="H16" s="2"/>
      <c r="I16" s="4"/>
      <c r="J16" s="56" t="s">
        <v>28</v>
      </c>
      <c r="K16" s="8"/>
      <c r="L16" s="8"/>
      <c r="M16" s="8"/>
      <c r="N16" s="58"/>
      <c r="O16" s="16" t="str">
        <f t="shared" si="1"/>
        <v>-</v>
      </c>
    </row>
    <row r="17" spans="2:15" ht="21.75" customHeight="1" x14ac:dyDescent="0.35">
      <c r="B17" s="3"/>
      <c r="C17" s="3"/>
      <c r="D17" s="3"/>
      <c r="E17" s="3"/>
      <c r="F17" s="3"/>
      <c r="G17" s="3"/>
      <c r="H17" s="3"/>
      <c r="I17" s="4"/>
      <c r="J17" s="5" t="s">
        <v>27</v>
      </c>
      <c r="K17" s="9">
        <f>SUM(K11:K16)</f>
        <v>0</v>
      </c>
      <c r="L17" s="9">
        <f>SUM(L11:L16)</f>
        <v>0</v>
      </c>
      <c r="M17" s="9">
        <f>SUM(M11:M16)</f>
        <v>0</v>
      </c>
      <c r="N17" s="59">
        <f>SUM(N11:N16)</f>
        <v>0</v>
      </c>
      <c r="O17" s="17" t="str">
        <f t="shared" si="1"/>
        <v>-</v>
      </c>
    </row>
    <row r="18" spans="2:15" ht="10.5" customHeight="1" x14ac:dyDescent="0.35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2:15" ht="27.75" customHeight="1" x14ac:dyDescent="0.35">
      <c r="B19" s="38" t="s">
        <v>29</v>
      </c>
      <c r="C19" s="39"/>
      <c r="D19" s="39"/>
      <c r="E19" s="39"/>
      <c r="F19" s="39"/>
      <c r="G19" s="23"/>
      <c r="H19" s="3"/>
      <c r="I19" s="2"/>
      <c r="J19" s="38" t="s">
        <v>30</v>
      </c>
      <c r="K19" s="39"/>
      <c r="L19" s="39"/>
      <c r="M19" s="39"/>
      <c r="N19" s="39"/>
      <c r="O19" s="23"/>
    </row>
    <row r="20" spans="2:15" ht="21.75" customHeight="1" x14ac:dyDescent="0.35">
      <c r="B20" s="22" t="s">
        <v>31</v>
      </c>
      <c r="C20" s="23"/>
      <c r="D20" s="22" t="s">
        <v>12</v>
      </c>
      <c r="E20" s="23"/>
      <c r="F20" s="22" t="s">
        <v>32</v>
      </c>
      <c r="G20" s="23"/>
      <c r="H20" s="3"/>
      <c r="I20" s="2"/>
      <c r="J20" s="22" t="s">
        <v>33</v>
      </c>
      <c r="K20" s="23"/>
      <c r="L20" s="22" t="s">
        <v>34</v>
      </c>
      <c r="M20" s="23"/>
      <c r="N20" s="22" t="s">
        <v>35</v>
      </c>
      <c r="O20" s="23"/>
    </row>
    <row r="21" spans="2:15" ht="21.75" customHeight="1" x14ac:dyDescent="0.35">
      <c r="B21" s="40" t="s">
        <v>13</v>
      </c>
      <c r="C21" s="23"/>
      <c r="D21" s="36"/>
      <c r="E21" s="23"/>
      <c r="F21" s="37" t="str">
        <f>IF(D24=0,"-",D21/D24)</f>
        <v>-</v>
      </c>
      <c r="G21" s="23"/>
      <c r="H21" s="3"/>
      <c r="I21" s="2"/>
      <c r="J21" s="40" t="s">
        <v>36</v>
      </c>
      <c r="K21" s="23"/>
      <c r="L21" s="36"/>
      <c r="M21" s="23"/>
      <c r="N21" s="36"/>
      <c r="O21" s="23"/>
    </row>
    <row r="22" spans="2:15" ht="21.75" customHeight="1" x14ac:dyDescent="0.35">
      <c r="B22" s="29" t="s">
        <v>37</v>
      </c>
      <c r="C22" s="23"/>
      <c r="D22" s="31"/>
      <c r="E22" s="23"/>
      <c r="F22" s="51" t="str">
        <f>IF(D24=0,"-",D22/D24)</f>
        <v>-</v>
      </c>
      <c r="G22" s="23"/>
      <c r="H22" s="3"/>
      <c r="I22" s="2"/>
      <c r="J22" s="29" t="s">
        <v>38</v>
      </c>
      <c r="K22" s="23"/>
      <c r="L22" s="31"/>
      <c r="M22" s="23"/>
      <c r="N22" s="31"/>
      <c r="O22" s="23"/>
    </row>
    <row r="23" spans="2:15" ht="21.75" customHeight="1" x14ac:dyDescent="0.35">
      <c r="B23" s="40" t="s">
        <v>39</v>
      </c>
      <c r="C23" s="23"/>
      <c r="D23" s="36"/>
      <c r="E23" s="23"/>
      <c r="F23" s="37" t="str">
        <f>IF(D24=0,"-",D23/D24)</f>
        <v>-</v>
      </c>
      <c r="G23" s="23"/>
      <c r="H23" s="3"/>
      <c r="I23" s="2"/>
      <c r="J23" s="40" t="s">
        <v>40</v>
      </c>
      <c r="K23" s="23"/>
      <c r="L23" s="36"/>
      <c r="M23" s="23"/>
      <c r="N23" s="36"/>
      <c r="O23" s="23"/>
    </row>
    <row r="24" spans="2:15" ht="21.75" customHeight="1" x14ac:dyDescent="0.35">
      <c r="B24" s="44" t="s">
        <v>27</v>
      </c>
      <c r="C24" s="23"/>
      <c r="D24" s="52">
        <f>SUM(D21:E23)</f>
        <v>0</v>
      </c>
      <c r="E24" s="23"/>
      <c r="F24" s="42">
        <v>1</v>
      </c>
      <c r="G24" s="23"/>
      <c r="H24" s="3"/>
      <c r="I24" s="2"/>
      <c r="J24" s="44" t="s">
        <v>27</v>
      </c>
      <c r="K24" s="23"/>
      <c r="L24" s="52">
        <f>SUM(L21:M23)</f>
        <v>0</v>
      </c>
      <c r="M24" s="39"/>
      <c r="N24" s="39"/>
      <c r="O24" s="23"/>
    </row>
    <row r="25" spans="2:15" ht="10.5" customHeight="1" x14ac:dyDescent="0.35">
      <c r="B25" s="3"/>
      <c r="C25" s="3"/>
      <c r="D25" s="3"/>
      <c r="E25" s="3"/>
      <c r="F25" s="3"/>
      <c r="G25" s="3"/>
      <c r="H25" s="3"/>
      <c r="I25" s="2"/>
      <c r="J25" s="2"/>
      <c r="K25" s="2"/>
      <c r="L25" s="2"/>
      <c r="M25" s="2"/>
      <c r="N25" s="2"/>
      <c r="O25" s="2"/>
    </row>
    <row r="26" spans="2:15" ht="27.75" customHeight="1" x14ac:dyDescent="0.35">
      <c r="B26" s="20" t="s">
        <v>60</v>
      </c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</row>
    <row r="27" spans="2:15" ht="21.75" customHeight="1" x14ac:dyDescent="0.35">
      <c r="B27" s="34" t="s">
        <v>59</v>
      </c>
      <c r="C27" s="35"/>
      <c r="D27" s="10" t="s">
        <v>41</v>
      </c>
      <c r="E27" s="10" t="s">
        <v>42</v>
      </c>
      <c r="F27" s="10" t="s">
        <v>43</v>
      </c>
      <c r="G27" s="10" t="s">
        <v>44</v>
      </c>
      <c r="H27" s="10" t="s">
        <v>45</v>
      </c>
      <c r="I27" s="10" t="s">
        <v>46</v>
      </c>
      <c r="J27" s="10" t="s">
        <v>47</v>
      </c>
      <c r="K27" s="10" t="s">
        <v>48</v>
      </c>
      <c r="L27" s="10" t="s">
        <v>49</v>
      </c>
      <c r="M27" s="10" t="s">
        <v>50</v>
      </c>
      <c r="N27" s="10" t="s">
        <v>51</v>
      </c>
      <c r="O27" s="10" t="s">
        <v>52</v>
      </c>
    </row>
    <row r="28" spans="2:15" ht="21.75" customHeight="1" x14ac:dyDescent="0.35">
      <c r="B28" s="49" t="s">
        <v>53</v>
      </c>
      <c r="C28" s="50"/>
      <c r="D28" s="60"/>
      <c r="E28" s="60"/>
      <c r="F28" s="60"/>
      <c r="G28" s="60"/>
      <c r="H28" s="60"/>
      <c r="I28" s="60"/>
      <c r="J28" s="60"/>
      <c r="K28" s="60"/>
      <c r="L28" s="60"/>
      <c r="M28" s="60"/>
      <c r="N28" s="60"/>
      <c r="O28" s="61"/>
    </row>
    <row r="29" spans="2:15" ht="21.75" customHeight="1" x14ac:dyDescent="0.35">
      <c r="B29" s="48" t="s">
        <v>54</v>
      </c>
      <c r="C29" s="33"/>
      <c r="D29" s="13" t="s">
        <v>58</v>
      </c>
      <c r="E29" s="18" t="str">
        <f>IF(E28=0,"-",E28/D28-1)</f>
        <v>-</v>
      </c>
      <c r="F29" s="18" t="str">
        <f t="shared" ref="F29" si="2">IF(F28=0,"-",F28/E28-1)</f>
        <v>-</v>
      </c>
      <c r="G29" s="18" t="str">
        <f t="shared" ref="G29" si="3">IF(G28=0,"-",G28/F28-1)</f>
        <v>-</v>
      </c>
      <c r="H29" s="18" t="str">
        <f t="shared" ref="H29" si="4">IF(H28=0,"-",H28/G28-1)</f>
        <v>-</v>
      </c>
      <c r="I29" s="18" t="str">
        <f t="shared" ref="I29" si="5">IF(I28=0,"-",I28/H28-1)</f>
        <v>-</v>
      </c>
      <c r="J29" s="18" t="str">
        <f t="shared" ref="J29" si="6">IF(J28=0,"-",J28/I28-1)</f>
        <v>-</v>
      </c>
      <c r="K29" s="18" t="str">
        <f t="shared" ref="K29" si="7">IF(K28=0,"-",K28/J28-1)</f>
        <v>-</v>
      </c>
      <c r="L29" s="18" t="str">
        <f t="shared" ref="L29" si="8">IF(L28=0,"-",L28/K28-1)</f>
        <v>-</v>
      </c>
      <c r="M29" s="18" t="str">
        <f t="shared" ref="M29" si="9">IF(M28=0,"-",M28/L28-1)</f>
        <v>-</v>
      </c>
      <c r="N29" s="18" t="str">
        <f t="shared" ref="N29" si="10">IF(N28=0,"-",N28/M28-1)</f>
        <v>-</v>
      </c>
      <c r="O29" s="19" t="str">
        <f t="shared" ref="O29" si="11">IF(O28=0,"-",O28/N28-1)</f>
        <v>-</v>
      </c>
    </row>
    <row r="30" spans="2:15" ht="21.75" customHeight="1" x14ac:dyDescent="0.35">
      <c r="B30" s="53" t="s">
        <v>55</v>
      </c>
      <c r="C30" s="50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2"/>
    </row>
    <row r="31" spans="2:15" ht="21.75" customHeight="1" x14ac:dyDescent="0.35">
      <c r="B31" s="32" t="s">
        <v>54</v>
      </c>
      <c r="C31" s="33"/>
      <c r="D31" s="14" t="s">
        <v>56</v>
      </c>
      <c r="E31" s="18" t="str">
        <f>IF(E30=0,"-",E30/D30-1)</f>
        <v>-</v>
      </c>
      <c r="F31" s="18" t="str">
        <f t="shared" ref="F31:O31" si="12">IF(F30=0,"-",F30/E30-1)</f>
        <v>-</v>
      </c>
      <c r="G31" s="18" t="str">
        <f t="shared" si="12"/>
        <v>-</v>
      </c>
      <c r="H31" s="18" t="str">
        <f t="shared" si="12"/>
        <v>-</v>
      </c>
      <c r="I31" s="18" t="str">
        <f t="shared" si="12"/>
        <v>-</v>
      </c>
      <c r="J31" s="18" t="str">
        <f t="shared" si="12"/>
        <v>-</v>
      </c>
      <c r="K31" s="18" t="str">
        <f t="shared" si="12"/>
        <v>-</v>
      </c>
      <c r="L31" s="18" t="str">
        <f t="shared" si="12"/>
        <v>-</v>
      </c>
      <c r="M31" s="18" t="str">
        <f t="shared" si="12"/>
        <v>-</v>
      </c>
      <c r="N31" s="18" t="str">
        <f t="shared" si="12"/>
        <v>-</v>
      </c>
      <c r="O31" s="19" t="str">
        <f t="shared" si="12"/>
        <v>-</v>
      </c>
    </row>
  </sheetData>
  <mergeCells count="62">
    <mergeCell ref="B24:C24"/>
    <mergeCell ref="B30:C30"/>
    <mergeCell ref="J21:K21"/>
    <mergeCell ref="J5:O5"/>
    <mergeCell ref="B15:C15"/>
    <mergeCell ref="D24:E24"/>
    <mergeCell ref="J19:O19"/>
    <mergeCell ref="L6:M6"/>
    <mergeCell ref="L21:M21"/>
    <mergeCell ref="N6:O6"/>
    <mergeCell ref="B20:C20"/>
    <mergeCell ref="D23:E23"/>
    <mergeCell ref="J9:O9"/>
    <mergeCell ref="J23:K23"/>
    <mergeCell ref="B2:O2"/>
    <mergeCell ref="B9:G9"/>
    <mergeCell ref="F20:G20"/>
    <mergeCell ref="B23:C23"/>
    <mergeCell ref="B14:C14"/>
    <mergeCell ref="L23:M23"/>
    <mergeCell ref="N23:O23"/>
    <mergeCell ref="B13:C13"/>
    <mergeCell ref="J20:K20"/>
    <mergeCell ref="D7:E7"/>
    <mergeCell ref="B5:G5"/>
    <mergeCell ref="L20:M20"/>
    <mergeCell ref="F23:G23"/>
    <mergeCell ref="B10:C10"/>
    <mergeCell ref="J7:K7"/>
    <mergeCell ref="F22:G22"/>
    <mergeCell ref="B31:C31"/>
    <mergeCell ref="B27:C27"/>
    <mergeCell ref="N22:O22"/>
    <mergeCell ref="F7:G7"/>
    <mergeCell ref="D21:E21"/>
    <mergeCell ref="B12:C12"/>
    <mergeCell ref="F21:G21"/>
    <mergeCell ref="B19:G19"/>
    <mergeCell ref="B21:C21"/>
    <mergeCell ref="F24:G24"/>
    <mergeCell ref="N21:O21"/>
    <mergeCell ref="B11:C11"/>
    <mergeCell ref="J24:K24"/>
    <mergeCell ref="B29:C29"/>
    <mergeCell ref="B28:C28"/>
    <mergeCell ref="L24:O24"/>
    <mergeCell ref="B26:O26"/>
    <mergeCell ref="D20:E20"/>
    <mergeCell ref="B16:C16"/>
    <mergeCell ref="B4:O4"/>
    <mergeCell ref="L7:M7"/>
    <mergeCell ref="N20:O20"/>
    <mergeCell ref="B7:C7"/>
    <mergeCell ref="N7:O7"/>
    <mergeCell ref="B22:C22"/>
    <mergeCell ref="F6:G6"/>
    <mergeCell ref="D22:E22"/>
    <mergeCell ref="D6:E6"/>
    <mergeCell ref="J6:K6"/>
    <mergeCell ref="J22:K22"/>
    <mergeCell ref="L22:M22"/>
    <mergeCell ref="B6:C6"/>
  </mergeCells>
  <phoneticPr fontId="3" type="noConversion"/>
  <pageMargins left="0.75" right="0.75" top="1" bottom="1" header="0.511811023622047" footer="0.511811023622047"/>
  <pageSetup orientation="landscape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요약보고서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임정택</dc:creator>
  <cp:lastModifiedBy>임정택</cp:lastModifiedBy>
  <cp:revision>0</cp:revision>
  <cp:lastPrinted>2025-12-31T00:45:25Z</cp:lastPrinted>
  <dcterms:created xsi:type="dcterms:W3CDTF">2025-06-18T00:30:37Z</dcterms:created>
  <dcterms:modified xsi:type="dcterms:W3CDTF">2026-03-16T08:25:17Z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Fasoo_Trace_ID" pid="2">
    <vt:lpwstr>eyJub2RlMSI6eyJkc2QiOiIwMTAwMDAwMDAwMDAyNTkyIiwibG9nVGltZSI6IjIwMjYtMDMtMTZUMDg6MTM6NTJaIiwicElEIjoxLCJ0cmFjZUlkIjoiNEQ0M0UzNDI3RjUyNEY1M0IyMjYzQzVCOEVCMzM4RDEiLCJ1c2VyQ29kZSI6ImxpbWp0In0sIm5vZGUyIjp7ImRzZCI6IjAxMDAwMDAwMDAwMDI1OTIiLCJsb2dUaW1lIjoiMjAyNi0wMy0xNlQwODoxMzo1MloiLCJwSUQiOjEsInRyYWNlSWQiOiI0RDQzRTM0MjdGNTI0RjUzQjIyNjNDNUI4RUIzMzhEMSIsInVzZXJDb2RlIjoibGltanQifSwibm9kZTMiOnsiZHNkIjoiMDEwMDAwMDAwMDAwMjU5MiIsImxvZ1RpbWUiOiIyMDI2LTAzLTE2VDA4OjEzOjUyWiIsInBJRCI6MSwidHJhY2VJZCI6IjRENDNFMzQyN0Y1MjRGNTNCMjI2M0M1QjhFQjMzOEQxIiwidXNlckNvZGUiOiJsaW1qdCJ9LCJub2RlNCI6eyJkc2QiOiIwMTAwMDAwMDAwMDAyNTkyIiwibG9nVGltZSI6IjIwMjYtMDMtMTZUMDg6MTM6NTJaIiwicElEIjoxLCJ0cmFjZUlkIjoiNEQ0M0UzNDI3RjUyNEY1M0IyMjYzQzVCOEVCMzM4RDEiLCJ1c2VyQ29kZSI6ImxpbWp0In0sIm5vZGU1Ijp7ImRzZCI6IjAwMDAwMDAwMDAwMDAwMDAiLCJsb2dUaW1lIjoiMjAyNi0wMy0xNlQwODoyNTo1MVoiLCJwSUQiOjIwNDgsInRyYWNlSWQiOiI5OUNBQjEyMjUxNDQ0MDQxODNCQzZGODFEODY1RUQ1MSIsInVzZXJDb2RlIjoibGltanQifSwibm9kZUNvdW50IjoyfQ==</vt:lpwstr>
  </property>
</Properties>
</file>