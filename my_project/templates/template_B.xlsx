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<sst xmlns="http://schemas.openxmlformats.org/spreadsheetml/2006/main" count="71" uniqueCount="62">
  <si>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</si>
  <si>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</si>
  <si>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</si>
  <si>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</si>
  <si>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</si>
  <si>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</si>
  <si>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</si>
  <si>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</si>
  <si>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</si>
  <si>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</si>
  <si>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</si>
  <si>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</si>
  <si>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</si>
  <si>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</si>
  <si>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</si>
  <si>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</si>
  <si>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</si>
  <si>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</si>
  <si>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</si>
  <si>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</si>
  <si>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</si>
  <si>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</si>
  <si>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</si>
  <si>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</si>
  <si>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</si>
  <si>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</si>
  <si>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</si>
  <si>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</si>
  <si>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</si>
  <si>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</si>
  <si>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</si>
  <si>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</si>
  <si>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</si>
  <si>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</si>
  <si>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</si>
  <si>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</si>
  <si>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</si>
  <si>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</si>
  <si>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</si>
  <si>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</si>
  <si>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</si>
  <si>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</si>
  <si>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</si>
  <si>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</si>
  <si>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</si>
  <si>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</si>
  <si>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</si>
  <si>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</si>
  <si>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</si>
  <si>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</si>
  <si>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</si>
  <si>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</si>
  <si>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</si>
  <si>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</si>
  <si>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</si>
  <si>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</si>
  <si>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</si>
  <si>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</si>
  <si>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</si>
  <si>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</si>
  <si>
    <t>26.01</t>
    <phoneticPr fontId="3" type="noConversion"/>
  </si>
  <si>
    <t>26.02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</si>
</sst>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9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8" xfId="0" quotePrefix="1" applyFont="1" applyFill="1" applyBorder="1" applyAlignment="1">
      <alignment horizontal="center" vertic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0" fontId="0" fillId="0" borderId="4" xfId="0" applyBorder="1" applyAlignment="1"/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76" fontId="9" fillId="9" borderId="1" xfId="0" quotePrefix="1" applyNumberFormat="1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5" fillId="7" borderId="1" xfId="0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176" fontId="10" fillId="8" borderId="1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/>
              <a:t>▎ 월별 임관리비 납부 및 임대자산 출고 추이</a:t>
            </a:r>
            <a:r>
              <a:rPr lang="en-US"/>
              <a:t>(</a:t>
            </a:r>
            <a:r>
              <a:rPr lang="ko-KR"/>
              <a:t>그래프</a:t>
            </a:r>
            <a:r>
              <a:rPr lang="en-US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5">
                        <a:lumMod val="40000"/>
                        <a:lumOff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요약보고서!$C$28:$N$28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2">
                        <a:lumMod val="40000"/>
                        <a:lumOff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요약보고서!$C$27:$N$27</c:f>
              <c:strCache>
                <c:ptCount val="12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  <c:pt idx="10">
                  <c:v>26.01</c:v>
                </c:pt>
                <c:pt idx="11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요약보고서!$C$30:$N$30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14</xdr:col>
      <xdr:colOff>0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showGridLines="0" tabSelected="1" zoomScale="85" zoomScaleNormal="85" workbookViewId="0">
      <selection activeCell="Q18" sqref="Q18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4" width="13.125" style="1" customWidth="1"/>
    <col min="15" max="15" width="8.5" style="2" customWidth="1"/>
    <col min="16" max="16384" width="8.5" style="2"/>
  </cols>
  <sheetData>
    <row r="1" spans="2:14" ht="4.5" customHeight="1" x14ac:dyDescent="0.35"/>
    <row r="2" spans="2:14" ht="31.5" customHeight="1" x14ac:dyDescent="0.35">
      <c r="B2" s="52" t="s">
        <v>0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2:14" ht="7.5" customHeight="1" x14ac:dyDescent="0.35"/>
    <row r="4" spans="2:14" ht="27.75" customHeight="1" x14ac:dyDescent="0.35">
      <c r="B4" s="62" t="s">
        <v>1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</row>
    <row r="5" spans="2:14" ht="27.75" customHeight="1" x14ac:dyDescent="0.35">
      <c r="B5" s="56" t="s">
        <v>51</v>
      </c>
      <c r="C5" s="57"/>
      <c r="D5" s="57"/>
      <c r="E5" s="57"/>
      <c r="F5" s="57"/>
      <c r="G5" s="57"/>
      <c r="H5" s="2"/>
      <c r="I5" s="66" t="s">
        <v>52</v>
      </c>
      <c r="J5" s="57"/>
      <c r="K5" s="57"/>
      <c r="L5" s="57"/>
      <c r="M5" s="57"/>
      <c r="N5" s="57"/>
    </row>
    <row r="6" spans="2:14" ht="26.25" customHeight="1" x14ac:dyDescent="0.35">
      <c r="B6" s="36" t="s">
        <v>2</v>
      </c>
      <c r="C6" s="34"/>
      <c r="D6" s="38" t="s">
        <v>50</v>
      </c>
      <c r="E6" s="34"/>
      <c r="F6" s="37" t="s">
        <v>3</v>
      </c>
      <c r="G6" s="34"/>
      <c r="H6" s="2"/>
      <c r="I6" s="36" t="s">
        <v>2</v>
      </c>
      <c r="J6" s="34"/>
      <c r="K6" s="38" t="s">
        <v>4</v>
      </c>
      <c r="L6" s="34"/>
      <c r="M6" s="37" t="s">
        <v>5</v>
      </c>
      <c r="N6" s="34"/>
    </row>
    <row r="7" spans="2:14" ht="26.25" customHeight="1" x14ac:dyDescent="0.35">
      <c r="B7" s="33">
        <v>1962</v>
      </c>
      <c r="C7" s="34"/>
      <c r="D7" s="55">
        <v>1891</v>
      </c>
      <c r="E7" s="34"/>
      <c r="F7" s="35">
        <v>71</v>
      </c>
      <c r="G7" s="34"/>
      <c r="H7" s="2"/>
      <c r="I7" s="33">
        <v>1962</v>
      </c>
      <c r="J7" s="34"/>
      <c r="K7" s="55">
        <v>1865</v>
      </c>
      <c r="L7" s="34"/>
      <c r="M7" s="35">
        <v>71</v>
      </c>
      <c r="N7" s="34"/>
    </row>
    <row r="8" spans="2:14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14" ht="27.75" customHeight="1" x14ac:dyDescent="0.35">
      <c r="B9" s="54" t="s">
        <v>6</v>
      </c>
      <c r="C9" s="48"/>
      <c r="D9" s="48"/>
      <c r="E9" s="48"/>
      <c r="F9" s="48"/>
      <c r="G9" s="48"/>
      <c r="H9" s="2"/>
      <c r="I9" s="68" t="s">
        <v>59</v>
      </c>
      <c r="J9" s="48"/>
      <c r="K9" s="48"/>
      <c r="L9" s="48"/>
      <c r="M9" s="48"/>
      <c r="N9" s="34"/>
    </row>
    <row r="10" spans="2:14" ht="21.75" customHeight="1" x14ac:dyDescent="0.35">
      <c r="B10" s="59" t="s">
        <v>7</v>
      </c>
      <c r="C10" s="60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14" ht="21.75" customHeight="1" x14ac:dyDescent="0.35">
      <c r="B11" s="41" t="s">
        <v>16</v>
      </c>
      <c r="C11" s="34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14" ht="21.75" customHeight="1" x14ac:dyDescent="0.35">
      <c r="B12" s="44" t="s">
        <v>18</v>
      </c>
      <c r="C12" s="34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14" ht="21.75" customHeight="1" x14ac:dyDescent="0.35">
      <c r="B13" s="41" t="s">
        <v>20</v>
      </c>
      <c r="C13" s="34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14" ht="21.75" customHeight="1" x14ac:dyDescent="0.35">
      <c r="B14" s="44" t="s">
        <v>22</v>
      </c>
      <c r="C14" s="34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14" ht="21.75" customHeight="1" x14ac:dyDescent="0.35">
      <c r="B15" s="41" t="s">
        <v>24</v>
      </c>
      <c r="C15" s="34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14" ht="21.75" customHeight="1" x14ac:dyDescent="0.35">
      <c r="B16" s="50" t="s">
        <v>26</v>
      </c>
      <c r="C16" s="51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7" t="s">
        <v>58</v>
      </c>
      <c r="C19" s="48"/>
      <c r="D19" s="48"/>
      <c r="E19" s="48"/>
      <c r="F19" s="48"/>
      <c r="G19" s="34"/>
      <c r="H19" s="3"/>
      <c r="I19" s="47" t="s">
        <v>57</v>
      </c>
      <c r="J19" s="48"/>
      <c r="K19" s="48"/>
      <c r="L19" s="48"/>
      <c r="M19" s="48"/>
      <c r="N19" s="34"/>
    </row>
    <row r="20" spans="1:14" ht="21.75" customHeight="1" x14ac:dyDescent="0.35">
      <c r="B20" s="49" t="s">
        <v>30</v>
      </c>
      <c r="C20" s="34"/>
      <c r="D20" s="49" t="s">
        <v>31</v>
      </c>
      <c r="E20" s="34"/>
      <c r="F20" s="49" t="s">
        <v>32</v>
      </c>
      <c r="G20" s="34"/>
      <c r="H20" s="3"/>
      <c r="I20" s="49" t="s">
        <v>28</v>
      </c>
      <c r="J20" s="34"/>
      <c r="K20" s="49" t="s">
        <v>11</v>
      </c>
      <c r="L20" s="34"/>
      <c r="M20" s="49" t="s">
        <v>29</v>
      </c>
      <c r="N20" s="34"/>
    </row>
    <row r="21" spans="1:14" ht="21.75" customHeight="1" x14ac:dyDescent="0.35">
      <c r="B21" s="41" t="s">
        <v>33</v>
      </c>
      <c r="C21" s="34"/>
      <c r="D21" s="40"/>
      <c r="E21" s="34"/>
      <c r="F21" s="40"/>
      <c r="G21" s="34"/>
      <c r="H21" s="3"/>
      <c r="I21" s="44" t="s">
        <v>34</v>
      </c>
      <c r="J21" s="34"/>
      <c r="K21" s="43"/>
      <c r="L21" s="34"/>
      <c r="M21" s="61" t="str">
        <f>IF(K23=0,"-",K21/K23)</f>
        <v>-</v>
      </c>
      <c r="N21" s="34"/>
    </row>
    <row r="22" spans="1:14" ht="21.75" customHeight="1" x14ac:dyDescent="0.35">
      <c r="B22" s="44" t="s">
        <v>35</v>
      </c>
      <c r="C22" s="34"/>
      <c r="D22" s="43"/>
      <c r="E22" s="34"/>
      <c r="F22" s="43"/>
      <c r="G22" s="34"/>
      <c r="H22" s="3"/>
      <c r="I22" s="41" t="s">
        <v>36</v>
      </c>
      <c r="J22" s="34"/>
      <c r="K22" s="40"/>
      <c r="L22" s="34"/>
      <c r="M22" s="58" t="str">
        <f>IF(K23=0,"-",K22/K23)</f>
        <v>-</v>
      </c>
      <c r="N22" s="34"/>
    </row>
    <row r="23" spans="1:14" ht="21.75" customHeight="1" x14ac:dyDescent="0.35">
      <c r="B23" s="41" t="s">
        <v>37</v>
      </c>
      <c r="C23" s="34"/>
      <c r="D23" s="40"/>
      <c r="E23" s="34"/>
      <c r="F23" s="40"/>
      <c r="G23" s="34"/>
      <c r="H23" s="3"/>
      <c r="I23" s="42" t="s">
        <v>26</v>
      </c>
      <c r="J23" s="34"/>
      <c r="K23" s="67">
        <f>SUM(K21:L22)</f>
        <v>0</v>
      </c>
      <c r="L23" s="34"/>
      <c r="M23" s="39" t="str">
        <f>IF(K23=0,"-",(K21+K22)/K23)</f>
        <v>-</v>
      </c>
      <c r="N23" s="34"/>
    </row>
    <row r="24" spans="1:14" ht="21.75" customHeight="1" x14ac:dyDescent="0.35">
      <c r="B24" s="42" t="s">
        <v>26</v>
      </c>
      <c r="C24" s="34"/>
      <c r="D24" s="45">
        <f>SUM(D21:E23)</f>
        <v>0</v>
      </c>
      <c r="E24" s="46"/>
      <c r="F24" s="45">
        <f>SUM(F21:G23)</f>
        <v>0</v>
      </c>
      <c r="G24" s="46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27.75" customHeight="1" x14ac:dyDescent="0.35">
      <c r="A26" s="25"/>
      <c r="B26" s="64" t="s">
        <v>53</v>
      </c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</row>
    <row r="27" spans="1:14" ht="21.75" customHeight="1" x14ac:dyDescent="0.35">
      <c r="A27" s="25"/>
      <c r="B27" s="31" t="s">
        <v>54</v>
      </c>
      <c r="C27" s="26" t="s">
        <v>38</v>
      </c>
      <c r="D27" s="26" t="s">
        <v>39</v>
      </c>
      <c r="E27" s="26" t="s">
        <v>40</v>
      </c>
      <c r="F27" s="26" t="s">
        <v>41</v>
      </c>
      <c r="G27" s="26" t="s">
        <v>42</v>
      </c>
      <c r="H27" s="26" t="s">
        <v>43</v>
      </c>
      <c r="I27" s="26" t="s">
        <v>44</v>
      </c>
      <c r="J27" s="26" t="s">
        <v>45</v>
      </c>
      <c r="K27" s="26" t="s">
        <v>46</v>
      </c>
      <c r="L27" s="26" t="s">
        <v>47</v>
      </c>
      <c r="M27" s="32" t="s">
        <v>60</v>
      </c>
      <c r="N27" s="32" t="s">
        <v>61</v>
      </c>
    </row>
    <row r="28" spans="1:14" ht="39" customHeight="1" x14ac:dyDescent="0.35">
      <c r="A28" s="25"/>
      <c r="B28" s="27" t="s">
        <v>55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48</v>
      </c>
      <c r="C29" s="11" t="s">
        <v>49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48</v>
      </c>
      <c r="C31" s="12" t="s">
        <v>49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F22:G22"/>
    <mergeCell ref="B2:N2"/>
    <mergeCell ref="B9:G9"/>
    <mergeCell ref="M20:N20"/>
    <mergeCell ref="I22:J22"/>
    <mergeCell ref="B14:C14"/>
    <mergeCell ref="B13:C13"/>
    <mergeCell ref="B20:C20"/>
    <mergeCell ref="D7:E7"/>
    <mergeCell ref="B5:G5"/>
    <mergeCell ref="D20:E20"/>
    <mergeCell ref="M22:N22"/>
    <mergeCell ref="B10:C10"/>
    <mergeCell ref="I7:J7"/>
    <mergeCell ref="M21:N21"/>
    <mergeCell ref="B4:N4"/>
    <mergeCell ref="K7:L7"/>
    <mergeCell ref="M23:N23"/>
    <mergeCell ref="F21:G21"/>
    <mergeCell ref="B11:C11"/>
    <mergeCell ref="B24:C24"/>
    <mergeCell ref="D22:E22"/>
    <mergeCell ref="I21:J21"/>
    <mergeCell ref="K21:L21"/>
    <mergeCell ref="B22:C22"/>
    <mergeCell ref="D24:E24"/>
    <mergeCell ref="F24:G24"/>
    <mergeCell ref="B12:C12"/>
    <mergeCell ref="I19:N19"/>
    <mergeCell ref="D23:E23"/>
    <mergeCell ref="F23:G23"/>
    <mergeCell ref="F20:G20"/>
    <mergeCell ref="B16:C16"/>
    <mergeCell ref="B7:C7"/>
    <mergeCell ref="M7:N7"/>
    <mergeCell ref="B6:C6"/>
    <mergeCell ref="F6:G6"/>
    <mergeCell ref="D6:E6"/>
    <mergeCell ref="I6:J6"/>
    <mergeCell ref="F7:G7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2026-03-17T03:21:02Z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I6MTE6MDZaIiwicElEIjoyMDQ4LCJ0cmFjZUlkIjoiN0ExQ0Q4MzZBOUM5NDFCM0JFQUQxNjNBMkJCMzlBNkQiLCJ1c2VyQ29kZSI6ImxpbWp0In0sIm5vZGUyIjp7ImRzZCI6IjAxMDAwMDAwMDAwMDI1OTIiLCJsb2dUaW1lIjoiMjAyNi0wMy0xN1QwMzoxODoyM1oiLCJwSUQiOjEsInRyYWNlSWQiOiJGMEFERUQzQjkxOEE0MTU0OEQ2OTk3RTU0ODA4OTYwMiIsInVzZXJDb2RlIjoibGltanQifSwibm9kZTMiOnsiZHNkIjoiMDAwMDAwMDAwMDAwMDAwMCIsImxvZ1RpbWUiOiIyMDI2LTAzLTE3VDAzOjE4OjM0WiIsInBJRCI6MjA0OCwidHJhY2VJZCI6IjlEQjZFQjE5OUIwMjQ5OTc5Q0Q0OUI5OEM2QkY3NEEwIiwidXNlckNvZGUiOiJsaW1qdCJ9LCJub2RlNCI6eyJkc2QiOiIwMTAwMDAwMDAwMDAyNTkyIiwibG9nVGltZSI6IjIwMjYtMDMtMTdUMDM6MjE6MDZaIiwicElEIjoxLCJ0cmFjZUlkIjoiNUY1Q0Q2NjNFNkFFNEFBMTg4M0ExOEQ2RUNBNjFCNEMiLCJ1c2VyQ29kZSI6ImxpbWp0In0sIm5vZGU1Ijp7ImRzZCI6IjAwMDAwMDAwMDAwMDAwMDAiLCJsb2dUaW1lIjoiMjAyNi0wMy0xN1QwMzoyMToxM1oiLCJwSUQiOjIwNDgsInRyYWNlSWQiOiJFRTNCNkU1NEY1RTQ0RTVCOUM0RUZDNDE4MjI5RjdDMiIsInVzZXJDb2RlIjoibGltanQifSwibm9kZUNvdW50IjoxOH0=</vt:lpwstr>
  </property>
</Properties>
</file>