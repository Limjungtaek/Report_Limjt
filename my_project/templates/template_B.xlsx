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definedNames>
    <definedName name="_xlnm.Print_Area" localSheetId="0">요약보고서!$A$1:$AA$33</definedName>
  </definedName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<sst xmlns="http://schemas.openxmlformats.org/spreadsheetml/2006/main" count="71" uniqueCount="62">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</sst>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8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8" xfId="0" quotePrefix="1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0" fontId="0" fillId="0" borderId="4" xfId="0" applyBorder="1" applyAlignment="1"/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5" fillId="7" borderId="1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11" fillId="0" borderId="0" xfId="0" applyFont="1" applyAlignment="1">
      <alignment horizontal="center" vertical="center"/>
    </xf>
    <xf numFmtId="0" fontId="5" fillId="2" borderId="7" xfId="0" applyFont="1" applyFill="1" applyBorder="1" applyAlignment="1">
      <alignment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b="1"/>
              <a:t>▎ 월별 임관리비 납부 추이</a:t>
            </a:r>
            <a:r>
              <a:rPr lang="en-US" b="1"/>
              <a:t>(</a:t>
            </a:r>
            <a:r>
              <a:rPr lang="ko-KR" b="1"/>
              <a:t>그래프</a:t>
            </a:r>
            <a:r>
              <a:rPr lang="en-US" b="1"/>
              <a:t>)</a:t>
            </a:r>
            <a:endParaRPr lang="ko-K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요약보고서!$C$28:$N$28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요약보고서!$B$30</c15:sqref>
                        </c15:formulaRef>
                      </c:ext>
                    </c:extLst>
                    <c:strCache>
                      <c:ptCount val="1"/>
                      <c:pt idx="0">
                        <c:v>임대자산
출고수량</c:v>
                      </c:pt>
                    </c:strCache>
                  </c:strRef>
                </c:tx>
                <c:spPr>
                  <a:ln w="3810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rgbClr val="FF0000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layout/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요약보고서!$C$27:$N$27</c15:sqref>
                        </c15:fullRef>
                        <c15:formulaRef>
                          <c15:sqref>요약보고서!$C$27:$N$27</c15:sqref>
                        </c15:formulaRef>
                      </c:ext>
                    </c:extLst>
                    <c:strCache>
                      <c:ptCount val="12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  <c:pt idx="10">
                        <c:v>26.01</c:v>
                      </c:pt>
                      <c:pt idx="11">
                        <c:v>26.02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요약보고서!$C$30:$O$30</c15:sqref>
                        </c15:fullRef>
                        <c15:formulaRef>
                          <c15:sqref>요약보고서!$C$30:$N$30</c15:sqref>
                        </c15:formulaRef>
                      </c:ext>
                    </c:extLst>
                    <c:numCache>
                      <c:formatCode>#,##0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DF1-484C-972A-AA538BF060E8}"/>
                  </c:ext>
                </c:extLst>
              </c15:ser>
            </c15:filteredLineSeries>
          </c:ext>
        </c:extLst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1"/>
        <c:axPos val="r"/>
        <c:numFmt formatCode="#,##0" sourceLinked="1"/>
        <c:majorTickMark val="none"/>
        <c:minorTickMark val="none"/>
        <c:tickLblPos val="nextTo"/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b="1"/>
              <a:t>▎ 월별 임대자산 출고 추이</a:t>
            </a:r>
            <a:r>
              <a:rPr lang="en-US" b="1"/>
              <a:t>(</a:t>
            </a:r>
            <a:r>
              <a:rPr lang="ko-KR" b="1"/>
              <a:t>그래프</a:t>
            </a:r>
            <a:r>
              <a:rPr lang="en-US" b="1"/>
              <a:t>)</a:t>
            </a:r>
            <a:endParaRPr lang="ko-K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요약보고서!$B$28</c15:sqref>
                        </c15:formulaRef>
                      </c:ext>
                    </c:extLst>
                    <c:strCache>
                      <c:ptCount val="1"/>
                      <c:pt idx="0">
                        <c:v>임관리비
납부금액</c:v>
                      </c:pt>
                    </c:strCache>
                  </c:strRef>
                </c:tx>
                <c:spPr>
                  <a:ln w="3810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1" i="0" u="none" strike="noStrike" kern="1200" baseline="0">
                          <a:solidFill>
                            <a:schemeClr val="accent5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ko-K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layout/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요약보고서!$C$27:$N$27</c15:sqref>
                        </c15:fullRef>
                        <c15:formulaRef>
                          <c15:sqref>요약보고서!$C$27:$N$27</c15:sqref>
                        </c15:formulaRef>
                      </c:ext>
                    </c:extLst>
                    <c:strCache>
                      <c:ptCount val="12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  <c:pt idx="10">
                        <c:v>26.01</c:v>
                      </c:pt>
                      <c:pt idx="11">
                        <c:v>26.02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요약보고서!$C$28:$O$28</c15:sqref>
                        </c15:fullRef>
                        <c15:formulaRef>
                          <c15:sqref>요약보고서!$C$28:$N$28</c15:sqref>
                        </c15:formulaRef>
                      </c:ext>
                    </c:extLst>
                    <c:numCache>
                      <c:formatCode>#,##0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191-4F33-BDAD-C1105F9E2598}"/>
                  </c:ext>
                </c:extLst>
              </c15:ser>
            </c15:filteredLineSeries>
          </c:ext>
        </c:extLst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요약보고서!$C$30:$N$30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91-4F33-BDAD-C1105F9E2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1"/>
        <c:axPos val="r"/>
        <c:numFmt formatCode="#,##0" sourceLinked="1"/>
        <c:majorTickMark val="none"/>
        <c:minorTickMark val="none"/>
        <c:tickLblPos val="nextTo"/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291353</xdr:colOff>
      <xdr:row>2</xdr:row>
      <xdr:rowOff>90765</xdr:rowOff>
    </xdr:from>
    <xdr:to>
      <xdr:col>26</xdr:col>
      <xdr:colOff>336177</xdr:colOff>
      <xdr:row>18</xdr:row>
      <xdr:rowOff>22412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302559</xdr:colOff>
      <xdr:row>19</xdr:row>
      <xdr:rowOff>22411</xdr:rowOff>
    </xdr:from>
    <xdr:to>
      <xdr:col>26</xdr:col>
      <xdr:colOff>358588</xdr:colOff>
      <xdr:row>31</xdr:row>
      <xdr:rowOff>156882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31"/>
  <sheetViews>
    <sheetView showGridLines="0" tabSelected="1" zoomScale="85" zoomScaleNormal="85" workbookViewId="0">
      <selection activeCell="AE7" sqref="AE7"/>
    </sheetView>
  </sheetViews>
  <sheetFormatPr defaultColWidth="8.5" defaultRowHeight="17.25" x14ac:dyDescent="0.35"/>
  <cols>
    <col min="1" max="1" width="2" style="1" customWidth="1"/>
    <col min="2" max="12" width="11.5" style="1" customWidth="1"/>
    <col min="13" max="13" width="14.625" style="1" customWidth="1"/>
    <col min="14" max="14" width="11.5" style="1" customWidth="1"/>
    <col min="15" max="15" width="8.5" style="2" customWidth="1"/>
    <col min="16" max="26" width="8.5" style="2"/>
    <col min="27" max="27" width="5.125" style="2" customWidth="1"/>
    <col min="28" max="28" width="8.5" style="2"/>
    <col min="29" max="29" width="2.875" style="2" customWidth="1"/>
    <col min="30" max="16384" width="8.5" style="2"/>
  </cols>
  <sheetData>
    <row r="1" spans="2:27" ht="19.5" customHeight="1" x14ac:dyDescent="0.35"/>
    <row r="2" spans="2:27" ht="31.5" customHeight="1" x14ac:dyDescent="0.35">
      <c r="B2" s="52" t="s">
        <v>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</row>
    <row r="3" spans="2:27" ht="7.5" customHeight="1" x14ac:dyDescent="0.35"/>
    <row r="4" spans="2:27" ht="27.75" customHeight="1" x14ac:dyDescent="0.35">
      <c r="B4" s="61" t="s">
        <v>1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</row>
    <row r="5" spans="2:27" ht="27.75" customHeight="1" x14ac:dyDescent="0.35">
      <c r="B5" s="55" t="s">
        <v>51</v>
      </c>
      <c r="C5" s="56"/>
      <c r="D5" s="56"/>
      <c r="E5" s="56"/>
      <c r="F5" s="56"/>
      <c r="G5" s="56"/>
      <c r="H5" s="2"/>
      <c r="I5" s="65" t="s">
        <v>52</v>
      </c>
      <c r="J5" s="56"/>
      <c r="K5" s="56"/>
      <c r="L5" s="56"/>
      <c r="M5" s="56"/>
      <c r="N5" s="56"/>
    </row>
    <row r="6" spans="2:27" ht="26.25" customHeight="1" x14ac:dyDescent="0.35">
      <c r="B6" s="36" t="s">
        <v>2</v>
      </c>
      <c r="C6" s="34"/>
      <c r="D6" s="38" t="s">
        <v>50</v>
      </c>
      <c r="E6" s="34"/>
      <c r="F6" s="37" t="s">
        <v>3</v>
      </c>
      <c r="G6" s="34"/>
      <c r="H6" s="2"/>
      <c r="I6" s="36" t="s">
        <v>2</v>
      </c>
      <c r="J6" s="34"/>
      <c r="K6" s="38" t="s">
        <v>4</v>
      </c>
      <c r="L6" s="34"/>
      <c r="M6" s="37" t="s">
        <v>5</v>
      </c>
      <c r="N6" s="34"/>
    </row>
    <row r="7" spans="2:27" ht="26.25" customHeight="1" x14ac:dyDescent="0.35">
      <c r="B7" s="33">
        <v>1962</v>
      </c>
      <c r="C7" s="34"/>
      <c r="D7" s="54">
        <v>1891</v>
      </c>
      <c r="E7" s="34"/>
      <c r="F7" s="35">
        <v>71</v>
      </c>
      <c r="G7" s="34"/>
      <c r="H7" s="2"/>
      <c r="I7" s="33">
        <v>1962</v>
      </c>
      <c r="J7" s="34"/>
      <c r="K7" s="54">
        <v>1865</v>
      </c>
      <c r="L7" s="34"/>
      <c r="M7" s="35">
        <v>71</v>
      </c>
      <c r="N7" s="34"/>
    </row>
    <row r="8" spans="2:27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27" ht="27.75" customHeight="1" x14ac:dyDescent="0.35">
      <c r="B9" s="53" t="s">
        <v>6</v>
      </c>
      <c r="C9" s="48"/>
      <c r="D9" s="48"/>
      <c r="E9" s="48"/>
      <c r="F9" s="48"/>
      <c r="G9" s="48"/>
      <c r="H9" s="2"/>
      <c r="I9" s="67" t="s">
        <v>59</v>
      </c>
      <c r="J9" s="48"/>
      <c r="K9" s="48"/>
      <c r="L9" s="48"/>
      <c r="M9" s="48"/>
      <c r="N9" s="34"/>
    </row>
    <row r="10" spans="2:27" ht="21.75" customHeight="1" x14ac:dyDescent="0.35">
      <c r="B10" s="58" t="s">
        <v>7</v>
      </c>
      <c r="C10" s="59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27" ht="21.75" customHeight="1" x14ac:dyDescent="0.35">
      <c r="B11" s="41" t="s">
        <v>16</v>
      </c>
      <c r="C11" s="34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27" ht="21.75" customHeight="1" x14ac:dyDescent="0.35">
      <c r="B12" s="44" t="s">
        <v>18</v>
      </c>
      <c r="C12" s="34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27" ht="21.75" customHeight="1" x14ac:dyDescent="0.35">
      <c r="B13" s="41" t="s">
        <v>20</v>
      </c>
      <c r="C13" s="34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27" ht="21.75" customHeight="1" x14ac:dyDescent="0.35">
      <c r="B14" s="44" t="s">
        <v>22</v>
      </c>
      <c r="C14" s="34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27" ht="21.75" customHeight="1" x14ac:dyDescent="0.35">
      <c r="B15" s="41" t="s">
        <v>24</v>
      </c>
      <c r="C15" s="34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27" ht="21.75" customHeight="1" x14ac:dyDescent="0.35">
      <c r="B16" s="50" t="s">
        <v>26</v>
      </c>
      <c r="C16" s="51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7" t="s">
        <v>58</v>
      </c>
      <c r="C19" s="48"/>
      <c r="D19" s="48"/>
      <c r="E19" s="48"/>
      <c r="F19" s="48"/>
      <c r="G19" s="34"/>
      <c r="H19" s="3"/>
      <c r="I19" s="47" t="s">
        <v>57</v>
      </c>
      <c r="J19" s="48"/>
      <c r="K19" s="48"/>
      <c r="L19" s="48"/>
      <c r="M19" s="48"/>
      <c r="N19" s="34"/>
    </row>
    <row r="20" spans="1:14" ht="21.75" customHeight="1" x14ac:dyDescent="0.35">
      <c r="B20" s="49" t="s">
        <v>30</v>
      </c>
      <c r="C20" s="34"/>
      <c r="D20" s="49" t="s">
        <v>31</v>
      </c>
      <c r="E20" s="34"/>
      <c r="F20" s="49" t="s">
        <v>32</v>
      </c>
      <c r="G20" s="34"/>
      <c r="H20" s="3"/>
      <c r="I20" s="49" t="s">
        <v>28</v>
      </c>
      <c r="J20" s="34"/>
      <c r="K20" s="49" t="s">
        <v>11</v>
      </c>
      <c r="L20" s="34"/>
      <c r="M20" s="49" t="s">
        <v>29</v>
      </c>
      <c r="N20" s="34"/>
    </row>
    <row r="21" spans="1:14" ht="21.75" customHeight="1" x14ac:dyDescent="0.35">
      <c r="B21" s="41" t="s">
        <v>33</v>
      </c>
      <c r="C21" s="34"/>
      <c r="D21" s="40"/>
      <c r="E21" s="34"/>
      <c r="F21" s="40"/>
      <c r="G21" s="34"/>
      <c r="H21" s="3"/>
      <c r="I21" s="44" t="s">
        <v>34</v>
      </c>
      <c r="J21" s="34"/>
      <c r="K21" s="43"/>
      <c r="L21" s="34"/>
      <c r="M21" s="60" t="str">
        <f>IF(K23=0,"-",K21/K23)</f>
        <v>-</v>
      </c>
      <c r="N21" s="34"/>
    </row>
    <row r="22" spans="1:14" ht="21.75" customHeight="1" x14ac:dyDescent="0.35">
      <c r="B22" s="44" t="s">
        <v>35</v>
      </c>
      <c r="C22" s="34"/>
      <c r="D22" s="43"/>
      <c r="E22" s="34"/>
      <c r="F22" s="43"/>
      <c r="G22" s="34"/>
      <c r="H22" s="3"/>
      <c r="I22" s="41" t="s">
        <v>36</v>
      </c>
      <c r="J22" s="34"/>
      <c r="K22" s="40"/>
      <c r="L22" s="34"/>
      <c r="M22" s="57" t="str">
        <f>IF(K23=0,"-",K22/K23)</f>
        <v>-</v>
      </c>
      <c r="N22" s="34"/>
    </row>
    <row r="23" spans="1:14" ht="21.75" customHeight="1" x14ac:dyDescent="0.35">
      <c r="B23" s="41" t="s">
        <v>37</v>
      </c>
      <c r="C23" s="34"/>
      <c r="D23" s="40"/>
      <c r="E23" s="34"/>
      <c r="F23" s="40"/>
      <c r="G23" s="34"/>
      <c r="H23" s="3"/>
      <c r="I23" s="42" t="s">
        <v>26</v>
      </c>
      <c r="J23" s="34"/>
      <c r="K23" s="66">
        <f>SUM(K21:L22)</f>
        <v>0</v>
      </c>
      <c r="L23" s="34"/>
      <c r="M23" s="39" t="str">
        <f>IF(K23=0,"-",(K21+K22)/K23)</f>
        <v>-</v>
      </c>
      <c r="N23" s="34"/>
    </row>
    <row r="24" spans="1:14" ht="21.75" customHeight="1" x14ac:dyDescent="0.35">
      <c r="B24" s="42" t="s">
        <v>26</v>
      </c>
      <c r="C24" s="34"/>
      <c r="D24" s="45">
        <f>SUM(D21:E23)</f>
        <v>0</v>
      </c>
      <c r="E24" s="46"/>
      <c r="F24" s="45">
        <f>SUM(F21:G23)</f>
        <v>0</v>
      </c>
      <c r="G24" s="46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36" customHeight="1" x14ac:dyDescent="0.35">
      <c r="A26" s="25"/>
      <c r="B26" s="63" t="s">
        <v>53</v>
      </c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32" t="s">
        <v>60</v>
      </c>
      <c r="N27" s="32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2:AA2"/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  <mergeCell ref="B9:G9"/>
    <mergeCell ref="M20:N20"/>
    <mergeCell ref="I22:J22"/>
    <mergeCell ref="B14:C14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B4:N4"/>
    <mergeCell ref="K7:L7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B12:C12"/>
    <mergeCell ref="I19:N19"/>
    <mergeCell ref="D23:E23"/>
    <mergeCell ref="F23:G23"/>
    <mergeCell ref="F20:G20"/>
    <mergeCell ref="B16:C16"/>
    <mergeCell ref="B7:C7"/>
    <mergeCell ref="M7:N7"/>
    <mergeCell ref="B6:C6"/>
    <mergeCell ref="F6:G6"/>
    <mergeCell ref="D6:E6"/>
    <mergeCell ref="I6:J6"/>
    <mergeCell ref="F7:G7"/>
  </mergeCells>
  <phoneticPr fontId="3" type="noConversion"/>
  <pageMargins left="0.75" right="0.75" top="1" bottom="1" header="0.511811023622047" footer="0.511811023622047"/>
  <pageSetup scale="43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요약보고서</vt:lpstr>
      <vt:lpstr>요약보고서!Print_Area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2026-03-17T03:42:17Z</cp:lastPrinted>
  <dcterms:created xsi:type="dcterms:W3CDTF">2025-06-18T00:30:37Z</dcterms:created>
  <dcterms:modified xsi:type="dcterms:W3CDTF">2026-03-17T03:42:39Z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M6MzI6MDRaIiwicElEIjoyMDQ4LCJ0cmFjZUlkIjoiOUJDNjcxQkNCMEZDNDI2M0JEMTRGNzU0MkU1NkRCRUYiLCJ1c2VyQ29kZSI6ImxpbWp0In0sIm5vZGUyIjp7ImRzZCI6IjAxMDAwMDAwMDAwMDI1OTIiLCJsb2dUaW1lIjoiMjAyNi0wMy0xN1QwMzozNTo0M1oiLCJwSUQiOjEsInRyYWNlSWQiOiJENkQyQzM1ODkwNkU0ODUxQTQ1MzYxMkRDMTM0NjhDOSIsInVzZXJDb2RlIjoibGltanQifSwibm9kZTMiOnsiZHNkIjoiMDAwMDAwMDAwMDAwMDAwMCIsImxvZ1RpbWUiOiIyMDI2LTAzLTE3VDAzOjM1OjU4WiIsInBJRCI6MjA0OCwidHJhY2VJZCI6IjJGQjI0MTIwNkU5MzQ1ODVCQzE4QzA0NTdFNjc4QTkyIiwidXNlckNvZGUiOiJsaW1qdCJ9LCJub2RlNCI6eyJkc2QiOiIwMTAwMDAwMDAwMDAyNTkyIiwibG9nVGltZSI6IjIwMjYtMDMtMTdUMDM6NDE6MTJaIiwicElEIjoxLCJ0cmFjZUlkIjoiREEyMzI4QzUxQUM5NDU5QTkxQ0VCOUQ0NjAxNTFCQjMiLCJ1c2VyQ29kZSI6ImxpbWp0In0sIm5vZGU1Ijp7ImRzZCI6IjAwMDAwMDAwMDAwMDAwMDAiLCJsb2dUaW1lIjoiMjAyNi0wMy0xN1QwMzo0MzowNloiLCJwSUQiOjIwNDgsInRyYWNlSWQiOiJCMTRDOEE0MEY2NkY0MTcyQjZDMzM0MkNDOUZCQTdENSIsInVzZXJDb2RlIjoibGltanQifSwibm9kZUNvdW50IjoyNn0=</vt:lpwstr>
  </property>
</Properties>
</file>