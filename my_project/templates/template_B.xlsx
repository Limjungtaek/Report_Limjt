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37140" windowHeight="1390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F23" i="1" l="1"/>
  <c r="O17" i="1"/>
  <c r="O16" i="1"/>
  <c r="O15" i="1"/>
  <c r="O14" i="1"/>
  <c r="O13" i="1"/>
  <c r="O12" i="1"/>
  <c r="O11" i="1"/>
  <c r="D24" i="1"/>
  <c r="L24" i="1"/>
  <c r="G15" i="1"/>
  <c r="G14" i="1"/>
  <c r="G13" i="1"/>
  <c r="G12" i="1"/>
  <c r="G11" i="1"/>
  <c r="D16" i="1"/>
  <c r="E31" i="1"/>
  <c r="F22" i="1" l="1"/>
  <c r="N17" i="1"/>
  <c r="M17" i="1"/>
  <c r="L17" i="1"/>
  <c r="K17" i="1"/>
  <c r="F16" i="1"/>
  <c r="E16" i="1"/>
  <c r="G16" i="1" l="1"/>
  <c r="F21" i="1"/>
</calcChain>
</file>

<file path=xl/sharedStrings.xml><?xml version="1.0" encoding="utf-8"?>
<sst xmlns="http://schemas.openxmlformats.org/spreadsheetml/2006/main" count="71" uniqueCount="66">
  <si>
    <t>정상 운영</t>
  </si>
  <si>
    <t>폐업</t>
  </si>
  <si>
    <t>지역</t>
  </si>
  <si>
    <t>구분</t>
  </si>
  <si>
    <t>수량</t>
  </si>
  <si>
    <t>출고</t>
  </si>
  <si>
    <t>보유</t>
  </si>
  <si>
    <t>자산가치(원)</t>
  </si>
  <si>
    <t>비율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</si>
  <si>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</si>
  <si>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</si>
  <si>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</si>
  <si>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</si>
  <si>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</si>
  <si>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</si>
  <si>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</si>
  <si>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</si>
  <si>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</si>
  <si>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</si>
  <si>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</si>
  <si>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</si>
  <si>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</si>
  <si>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</si>
  <si>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</si>
  <si>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</si>
  <si>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</si>
  <si>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</si>
  <si>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</si>
  <si>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</si>
  <si>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</si>
  <si>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</si>
  <si>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</si>
  <si>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</si>
  <si>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보관위치</t>
  </si>
  <si>
    <t>제품</t>
  </si>
  <si>
    <t>A-1</t>
  </si>
  <si>
    <t>A-2</t>
  </si>
  <si>
    <t>A-3</t>
  </si>
  <si>
    <t>가맹점</t>
    <phoneticPr fontId="4" type="noConversion"/>
  </si>
  <si>
    <t>재고</t>
    <phoneticPr fontId="4" type="noConversion"/>
  </si>
  <si>
    <t>전체</t>
    <phoneticPr fontId="4" type="noConversion"/>
  </si>
  <si>
    <t>출고중</t>
    <phoneticPr fontId="4" type="noConversion"/>
  </si>
  <si>
    <t>전체</t>
    <phoneticPr fontId="4" type="noConversion"/>
  </si>
  <si>
    <t>보유중</t>
    <phoneticPr fontId="4" type="noConversion"/>
  </si>
  <si>
    <t>-</t>
    <phoneticPr fontId="4" type="noConversion"/>
  </si>
  <si>
    <r>
      <rPr>
        <b/>
        <sz val="12"/>
        <color rgb="FFFFFFFF"/>
        <rFont val="Noto Sans CJK SC"/>
        <family val="2"/>
      </rPr>
      <t>▎</t>
    </r>
    <r>
      <rPr>
        <b/>
        <sz val="12"/>
        <color rgb="FFFFFFFF"/>
        <rFont val="맑은 고딕"/>
        <family val="3"/>
        <charset val="129"/>
      </rPr>
      <t xml:space="preserve"> 지역별 가맹점 현황</t>
    </r>
  </si>
  <si>
    <r>
      <rPr>
        <b/>
        <sz val="12"/>
        <color rgb="FFFFFFFF"/>
        <rFont val="Noto Sans CJK SC"/>
        <family val="2"/>
      </rPr>
      <t>▎</t>
    </r>
    <r>
      <rPr>
        <b/>
        <sz val="12"/>
        <color rgb="FFFFFFFF"/>
        <rFont val="맑은 고딕"/>
        <family val="3"/>
        <charset val="129"/>
      </rPr>
      <t xml:space="preserve"> 임대자산 현황</t>
    </r>
  </si>
  <si>
    <t>전월대비</t>
    <phoneticPr fontId="4" type="noConversion"/>
  </si>
  <si>
    <t>임관리비 납부금액</t>
    <phoneticPr fontId="4" type="noConversion"/>
  </si>
  <si>
    <t>임대자산 출고</t>
    <phoneticPr fontId="4" type="noConversion"/>
  </si>
  <si>
    <t>충청</t>
    <phoneticPr fontId="4" type="noConversion"/>
  </si>
  <si>
    <t>임관리비 / 재고 현황 요약 보고서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</si>
  <si>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전체 현황 요약</t>
    </r>
    <phoneticPr fontId="4" type="noConversion"/>
  </si>
  <si>
    <t>전체</t>
    <phoneticPr fontId="4" type="noConversion"/>
  </si>
  <si>
    <t>정상운영</t>
    <phoneticPr fontId="4" type="noConversion"/>
  </si>
  <si>
    <t>폐업</t>
    <phoneticPr fontId="4" type="noConversion"/>
  </si>
  <si>
    <t>폐업률</t>
    <phoneticPr fontId="4" type="noConversion"/>
  </si>
  <si>
    <t>출고율</t>
    <phoneticPr fontId="4" type="noConversion"/>
  </si>
  <si>
    <t>출고 대수</t>
    <phoneticPr fontId="4" type="noConversion"/>
  </si>
  <si>
    <t>보관 대수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</si>
  <si>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자산 보관 현황</t>
    </r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</si>
  <si>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자산별 현황</t>
    </r>
    <phoneticPr fontId="4" type="noConversion"/>
  </si>
  <si>
    <t>지사보관</t>
    <phoneticPr fontId="4" type="noConversion"/>
  </si>
  <si>
    <t>본사보관</t>
    <phoneticPr fontId="4" type="noConversion"/>
  </si>
  <si>
    <t>출고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</si>
  <si>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월별 임관리비 납부 및 임대자산 출고 추이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</si>
</sst>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7" formatCode="0.0%"/>
    <numFmt numFmtId="178" formatCode="\+0.0%;\-0.0%"/>
    <numFmt numFmtId="185" formatCode="_(* #,##0_);_(* \(#,##0\);_(* \-_);_(@_)"/>
  </numFmts>
  <fonts count="15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Noto Sans CJK SC"/>
      <family val="2"/>
    </font>
    <font>
      <b/>
      <sz val="12"/>
      <color rgb="FFFFFFFF"/>
      <name val="Microsoft JhengHei Console"/>
      <family val="3"/>
      <charset val="136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85" fontId="3" fillId="0" borderId="0">
      <alignment vertical="center"/>
    </xf>
    <xf numFmtId="185" fontId="3" fillId="0" borderId="0">
      <alignment vertical="center"/>
    </xf>
    <xf numFmtId="0" fontId="1" fillId="0" borderId="0">
      <alignment vertical="center"/>
    </xf>
    <xf numFmtId="185" fontId="3" fillId="0" borderId="0">
      <alignment vertical="center"/>
    </xf>
  </cellStyleXfs>
  <cellXfs count="75">
    <xf numFmtId="0" fontId="0" fillId="0" borderId="0" xfId="0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vertical="center"/>
    </xf>
    <xf numFmtId="0" fontId="8" fillId="10" borderId="7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3" fontId="10" fillId="3" borderId="1" xfId="0" applyNumberFormat="1" applyFont="1" applyFill="1" applyBorder="1" applyAlignment="1">
      <alignment horizontal="center" vertical="center" wrapText="1"/>
    </xf>
    <xf numFmtId="3" fontId="10" fillId="4" borderId="1" xfId="0" applyNumberFormat="1" applyFont="1" applyFill="1" applyBorder="1" applyAlignment="1">
      <alignment horizontal="center" vertical="center" wrapText="1"/>
    </xf>
    <xf numFmtId="3" fontId="10" fillId="5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/>
    <xf numFmtId="0" fontId="11" fillId="0" borderId="3" xfId="0" applyFont="1" applyBorder="1" applyAlignment="1"/>
    <xf numFmtId="0" fontId="11" fillId="0" borderId="4" xfId="0" applyFont="1" applyBorder="1" applyAlignment="1"/>
    <xf numFmtId="0" fontId="11" fillId="0" borderId="0" xfId="0" applyFont="1" applyAlignment="1">
      <alignment vertical="center"/>
    </xf>
    <xf numFmtId="0" fontId="8" fillId="7" borderId="1" xfId="0" applyFont="1" applyFill="1" applyBorder="1" applyAlignment="1">
      <alignment horizontal="center" vertical="center" wrapText="1"/>
    </xf>
    <xf numFmtId="3" fontId="13" fillId="6" borderId="1" xfId="0" applyNumberFormat="1" applyFont="1" applyFill="1" applyBorder="1" applyAlignment="1">
      <alignment horizontal="center" vertical="center" wrapText="1"/>
    </xf>
    <xf numFmtId="177" fontId="13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3" fontId="13" fillId="8" borderId="1" xfId="0" applyNumberFormat="1" applyFont="1" applyFill="1" applyBorder="1" applyAlignment="1">
      <alignment horizontal="center" vertical="center" wrapText="1"/>
    </xf>
    <xf numFmtId="177" fontId="13" fillId="8" borderId="1" xfId="0" applyNumberFormat="1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3" fontId="12" fillId="9" borderId="1" xfId="0" applyNumberFormat="1" applyFont="1" applyFill="1" applyBorder="1" applyAlignment="1">
      <alignment horizontal="center" vertical="center" wrapText="1"/>
    </xf>
    <xf numFmtId="177" fontId="12" fillId="9" borderId="1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12" fillId="8" borderId="7" xfId="0" applyFont="1" applyFill="1" applyBorder="1" applyAlignment="1">
      <alignment horizontal="center" vertical="center" wrapText="1"/>
    </xf>
    <xf numFmtId="0" fontId="12" fillId="8" borderId="4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3" fontId="13" fillId="6" borderId="1" xfId="0" applyNumberFormat="1" applyFont="1" applyFill="1" applyBorder="1" applyAlignment="1">
      <alignment horizontal="center" vertical="center" wrapText="1"/>
    </xf>
    <xf numFmtId="177" fontId="13" fillId="6" borderId="1" xfId="0" applyNumberFormat="1" applyFont="1" applyFill="1" applyBorder="1" applyAlignment="1">
      <alignment horizontal="center" vertical="center" wrapText="1"/>
    </xf>
    <xf numFmtId="3" fontId="13" fillId="8" borderId="1" xfId="0" applyNumberFormat="1" applyFont="1" applyFill="1" applyBorder="1" applyAlignment="1">
      <alignment horizontal="center" vertical="center" wrapText="1"/>
    </xf>
    <xf numFmtId="177" fontId="13" fillId="8" borderId="1" xfId="0" applyNumberFormat="1" applyFont="1" applyFill="1" applyBorder="1" applyAlignment="1">
      <alignment horizontal="center" vertical="center" wrapText="1"/>
    </xf>
    <xf numFmtId="0" fontId="12" fillId="9" borderId="7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3" fontId="12" fillId="9" borderId="1" xfId="0" applyNumberFormat="1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3" fontId="13" fillId="0" borderId="11" xfId="0" applyNumberFormat="1" applyFont="1" applyFill="1" applyBorder="1" applyAlignment="1">
      <alignment horizontal="center" vertical="center" wrapText="1"/>
    </xf>
    <xf numFmtId="3" fontId="13" fillId="0" borderId="12" xfId="0" applyNumberFormat="1" applyFont="1" applyFill="1" applyBorder="1" applyAlignment="1">
      <alignment horizontal="center" vertical="center" wrapText="1"/>
    </xf>
    <xf numFmtId="3" fontId="13" fillId="0" borderId="14" xfId="0" applyNumberFormat="1" applyFont="1" applyFill="1" applyBorder="1" applyAlignment="1">
      <alignment horizontal="center" vertical="center" wrapText="1"/>
    </xf>
    <xf numFmtId="3" fontId="13" fillId="0" borderId="15" xfId="0" applyNumberFormat="1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178" fontId="13" fillId="0" borderId="14" xfId="0" applyNumberFormat="1" applyFont="1" applyFill="1" applyBorder="1" applyAlignment="1">
      <alignment horizontal="center" vertical="center" wrapText="1"/>
    </xf>
    <xf numFmtId="178" fontId="13" fillId="0" borderId="15" xfId="0" applyNumberFormat="1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2" fillId="12" borderId="11" xfId="0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12" fillId="12" borderId="14" xfId="0" applyFont="1" applyFill="1" applyBorder="1" applyAlignment="1">
      <alignment horizontal="center" vertical="center" wrapText="1"/>
    </xf>
    <xf numFmtId="0" fontId="12" fillId="13" borderId="10" xfId="0" applyFont="1" applyFill="1" applyBorder="1" applyAlignment="1">
      <alignment horizontal="center" vertical="center" wrapText="1"/>
    </xf>
    <xf numFmtId="0" fontId="12" fillId="13" borderId="11" xfId="0" applyFont="1" applyFill="1" applyBorder="1" applyAlignment="1">
      <alignment horizontal="center" vertical="center" wrapText="1"/>
    </xf>
    <xf numFmtId="0" fontId="12" fillId="13" borderId="13" xfId="0" applyFont="1" applyFill="1" applyBorder="1" applyAlignment="1">
      <alignment horizontal="center" vertical="center" wrapText="1"/>
    </xf>
    <xf numFmtId="0" fontId="12" fillId="13" borderId="1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vertical="center" wrapText="1"/>
    </xf>
    <xf numFmtId="0" fontId="8" fillId="2" borderId="6" xfId="0" applyFont="1" applyFill="1" applyBorder="1" applyAlignment="1">
      <alignment vertical="center" wrapText="1"/>
    </xf>
    <xf numFmtId="0" fontId="8" fillId="2" borderId="7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2" fillId="9" borderId="16" xfId="0" applyFont="1" applyFill="1" applyBorder="1" applyAlignment="1">
      <alignment horizontal="center" vertical="center" wrapText="1"/>
    </xf>
    <xf numFmtId="0" fontId="12" fillId="9" borderId="17" xfId="0" applyFont="1" applyFill="1" applyBorder="1" applyAlignment="1">
      <alignment horizontal="center" vertical="center" wrapText="1"/>
    </xf>
    <xf numFmtId="3" fontId="12" fillId="9" borderId="7" xfId="0" applyNumberFormat="1" applyFont="1" applyFill="1" applyBorder="1" applyAlignment="1">
      <alignment horizontal="center" vertical="center" wrapText="1"/>
    </xf>
    <xf numFmtId="3" fontId="12" fillId="9" borderId="3" xfId="0" applyNumberFormat="1" applyFont="1" applyFill="1" applyBorder="1" applyAlignment="1">
      <alignment horizontal="center" vertical="center" wrapText="1"/>
    </xf>
    <xf numFmtId="3" fontId="12" fillId="9" borderId="4" xfId="0" applyNumberFormat="1" applyFont="1" applyFill="1" applyBorder="1" applyAlignment="1">
      <alignment horizontal="center" vertical="center" wrapText="1"/>
    </xf>
    <xf numFmtId="177" fontId="12" fillId="9" borderId="1" xfId="0" quotePrefix="1" applyNumberFormat="1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월별 임관리비 납부 및 임대자산 출고 추이</a:t>
            </a:r>
            <a:r>
              <a:rPr lang="en-US" altLang="ko-KR"/>
              <a:t>(</a:t>
            </a:r>
            <a:r>
              <a:rPr lang="ko-KR" altLang="en-US"/>
              <a:t>그래프</a:t>
            </a:r>
            <a:r>
              <a:rPr lang="en-US" altLang="ko-KR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요약보고서!$B$28:$E$28</c:f>
              <c:strCache>
                <c:ptCount val="4"/>
                <c:pt idx="0">
                  <c:v>임관리비 납부금액</c:v>
                </c:pt>
              </c:strCache>
            </c:strRef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cat>
            <c:strRef>
              <c:f>요약보고서!$F$27:$O$27</c:f>
              <c:strCache>
                <c:ptCount val="10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</c:strCache>
            </c:strRef>
          </c:cat>
          <c:val>
            <c:numRef>
              <c:f>요약보고서!$F$28:$O$28</c:f>
              <c:numCache>
                <c:formatCode>#,##0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21-47EF-9BD8-88AF9FBCC688}"/>
            </c:ext>
          </c:extLst>
        </c:ser>
        <c:ser>
          <c:idx val="2"/>
          <c:order val="2"/>
          <c:tx>
            <c:strRef>
              <c:f>요약보고서!$B$30:$E$30</c:f>
              <c:strCache>
                <c:ptCount val="4"/>
                <c:pt idx="0">
                  <c:v>임대자산 출고</c:v>
                </c:pt>
              </c:strCache>
            </c:strRef>
          </c:tx>
          <c:spPr>
            <a:ln w="38100" cap="flat" cmpd="dbl" algn="ctr">
              <a:solidFill>
                <a:schemeClr val="accent3"/>
              </a:solidFill>
              <a:miter lim="800000"/>
            </a:ln>
            <a:effectLst/>
          </c:spPr>
          <c:marker>
            <c:symbol val="none"/>
          </c:marker>
          <c:cat>
            <c:strRef>
              <c:f>요약보고서!$F$27:$O$27</c:f>
              <c:strCache>
                <c:ptCount val="10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</c:strCache>
            </c:strRef>
          </c:cat>
          <c:val>
            <c:numRef>
              <c:f>요약보고서!$F$30:$O$30</c:f>
              <c:numCache>
                <c:formatCode>#,##0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21-47EF-9BD8-88AF9FBCC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0956319"/>
        <c:axId val="131095881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요약보고서!$B$29:$E$29</c15:sqref>
                        </c15:formulaRef>
                      </c:ext>
                    </c:extLst>
                    <c:strCache>
                      <c:ptCount val="4"/>
                      <c:pt idx="0">
                        <c:v>전월대비</c:v>
                      </c:pt>
                    </c:strCache>
                  </c:strRef>
                </c:tx>
                <c:spPr>
                  <a:ln w="38100" cap="flat" cmpd="dbl" algn="ctr">
                    <a:solidFill>
                      <a:schemeClr val="accent2"/>
                    </a:solidFill>
                    <a:miter lim="800000"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2"/>
                    </a:solidFill>
                    <a:ln w="9525" cap="flat" cmpd="sng" algn="ctr">
                      <a:solidFill>
                        <a:schemeClr val="l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요약보고서!$F$27:$O$27</c15:sqref>
                        </c15:formulaRef>
                      </c:ext>
                    </c:extLst>
                    <c:strCache>
                      <c:ptCount val="10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요약보고서!$F$29:$O$29</c15:sqref>
                        </c15:formulaRef>
                      </c:ext>
                    </c:extLst>
                    <c:numCache>
                      <c:formatCode>#,##0</c:formatCode>
                      <c:ptCount val="1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121-47EF-9BD8-88AF9FBCC68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요약보고서!$B$31:$E$31</c15:sqref>
                        </c15:formulaRef>
                      </c:ext>
                    </c:extLst>
                    <c:strCache>
                      <c:ptCount val="4"/>
                      <c:pt idx="0">
                        <c:v>전월대비</c:v>
                      </c:pt>
                      <c:pt idx="2">
                        <c:v>-</c:v>
                      </c:pt>
                      <c:pt idx="3">
                        <c:v>-</c:v>
                      </c:pt>
                    </c:strCache>
                  </c:strRef>
                </c:tx>
                <c:spPr>
                  <a:ln w="38100" cap="flat" cmpd="dbl" algn="ctr">
                    <a:solidFill>
                      <a:schemeClr val="accent4"/>
                    </a:solidFill>
                    <a:miter lim="800000"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4"/>
                    </a:solidFill>
                    <a:ln w="9525" cap="flat" cmpd="sng" algn="ctr">
                      <a:solidFill>
                        <a:schemeClr val="l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요약보고서!$F$27:$O$27</c15:sqref>
                        </c15:formulaRef>
                      </c:ext>
                    </c:extLst>
                    <c:strCache>
                      <c:ptCount val="10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요약보고서!$F$31:$O$31</c15:sqref>
                        </c15:formulaRef>
                      </c:ext>
                    </c:extLst>
                    <c:numCache>
                      <c:formatCode>\+0.0%;\-0.0%</c:formatCode>
                      <c:ptCount val="1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121-47EF-9BD8-88AF9FBCC688}"/>
                  </c:ext>
                </c:extLst>
              </c15:ser>
            </c15:filteredLineSeries>
          </c:ext>
        </c:extLst>
      </c:lineChart>
      <c:catAx>
        <c:axId val="1310956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815"/>
        <c:crosses val="autoZero"/>
        <c:auto val="1"/>
        <c:lblAlgn val="ctr"/>
        <c:lblOffset val="100"/>
        <c:noMultiLvlLbl val="0"/>
      </c:catAx>
      <c:valAx>
        <c:axId val="131095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142874</xdr:colOff>
      <xdr:row>31</xdr:row>
      <xdr:rowOff>209550</xdr:rowOff>
    </xdr:from>
    <xdr:to>
      <xdr:col>15</xdr:col>
      <xdr:colOff>28575</xdr:colOff>
      <xdr:row>51</xdr:row>
      <xdr:rowOff>133350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1"/>
  <sheetViews>
    <sheetView showGridLines="0" tabSelected="1" zoomScale="85" zoomScaleNormal="85" workbookViewId="0">
      <selection activeCell="R7" sqref="R7"/>
    </sheetView>
  </sheetViews>
  <sheetFormatPr defaultColWidth="8.5" defaultRowHeight="17.25"/>
  <cols>
    <col min="1" max="1" width="2" style="1" customWidth="1"/>
    <col min="2" max="7" width="13" style="1" customWidth="1"/>
    <col min="8" max="9" width="7.375" style="1" bestFit="1" customWidth="1"/>
    <col min="10" max="10" width="14.75" style="1" customWidth="1"/>
    <col min="11" max="13" width="13" style="1" customWidth="1"/>
    <col min="14" max="14" width="16.75" style="1" bestFit="1" customWidth="1"/>
    <col min="15" max="15" width="13" style="1" customWidth="1"/>
    <col min="16" max="16384" width="8.5" style="2"/>
  </cols>
  <sheetData>
    <row r="1" spans="2:15" ht="12.75" customHeight="1"/>
    <row r="2" spans="2:15" ht="31.5" customHeight="1">
      <c r="B2" s="65" t="s">
        <v>51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</row>
    <row r="3" spans="2:15" ht="13.5" customHeight="1"/>
    <row r="4" spans="2:15" ht="27.75" customHeight="1">
      <c r="B4" s="61" t="s">
        <v>52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</row>
    <row r="5" spans="2:15" ht="27.75" customHeight="1">
      <c r="B5" s="3" t="s">
        <v>38</v>
      </c>
      <c r="C5" s="4"/>
      <c r="D5" s="4"/>
      <c r="E5" s="4"/>
      <c r="F5" s="4"/>
      <c r="G5" s="4"/>
      <c r="H5" s="2"/>
      <c r="I5" s="2"/>
      <c r="J5" s="5" t="s">
        <v>39</v>
      </c>
      <c r="K5" s="6"/>
      <c r="L5" s="6"/>
      <c r="M5" s="6"/>
      <c r="N5" s="6"/>
      <c r="O5" s="6"/>
    </row>
    <row r="6" spans="2:15" ht="41.25" customHeight="1">
      <c r="B6" s="7" t="s">
        <v>40</v>
      </c>
      <c r="C6" s="8"/>
      <c r="D6" s="9" t="s">
        <v>0</v>
      </c>
      <c r="E6" s="8"/>
      <c r="F6" s="10" t="s">
        <v>1</v>
      </c>
      <c r="G6" s="8"/>
      <c r="H6" s="2"/>
      <c r="I6" s="2"/>
      <c r="J6" s="7" t="s">
        <v>42</v>
      </c>
      <c r="K6" s="8"/>
      <c r="L6" s="9" t="s">
        <v>41</v>
      </c>
      <c r="M6" s="8"/>
      <c r="N6" s="10" t="s">
        <v>43</v>
      </c>
      <c r="O6" s="8"/>
    </row>
    <row r="7" spans="2:15" ht="30" customHeight="1">
      <c r="B7" s="11"/>
      <c r="C7" s="8"/>
      <c r="D7" s="12"/>
      <c r="E7" s="8"/>
      <c r="F7" s="13"/>
      <c r="G7" s="8"/>
      <c r="H7" s="2"/>
      <c r="I7" s="2"/>
      <c r="J7" s="11"/>
      <c r="K7" s="8"/>
      <c r="L7" s="12"/>
      <c r="M7" s="8"/>
      <c r="N7" s="13"/>
      <c r="O7" s="8"/>
    </row>
    <row r="8" spans="2:15" ht="21.75" customHeight="1">
      <c r="B8" s="14"/>
      <c r="C8" s="14"/>
      <c r="D8" s="14"/>
      <c r="E8" s="14"/>
      <c r="F8" s="14"/>
      <c r="G8" s="14"/>
      <c r="H8" s="2"/>
      <c r="I8" s="2"/>
      <c r="J8" s="14"/>
      <c r="K8" s="14"/>
      <c r="L8" s="14"/>
      <c r="M8" s="14"/>
      <c r="N8" s="14"/>
      <c r="O8" s="14"/>
    </row>
    <row r="9" spans="2:15" ht="27.75" customHeight="1">
      <c r="B9" s="63" t="s">
        <v>45</v>
      </c>
      <c r="C9" s="64"/>
      <c r="D9" s="64"/>
      <c r="E9" s="64"/>
      <c r="F9" s="64"/>
      <c r="G9" s="64"/>
      <c r="H9" s="2"/>
      <c r="I9" s="17"/>
      <c r="J9" s="60" t="s">
        <v>46</v>
      </c>
      <c r="K9" s="15"/>
      <c r="L9" s="15"/>
      <c r="M9" s="15"/>
      <c r="N9" s="15"/>
      <c r="O9" s="16"/>
    </row>
    <row r="10" spans="2:15" ht="21.75" customHeight="1">
      <c r="B10" s="42" t="s">
        <v>2</v>
      </c>
      <c r="C10" s="43"/>
      <c r="D10" s="18" t="s">
        <v>53</v>
      </c>
      <c r="E10" s="18" t="s">
        <v>54</v>
      </c>
      <c r="F10" s="18" t="s">
        <v>55</v>
      </c>
      <c r="G10" s="18" t="s">
        <v>56</v>
      </c>
      <c r="H10" s="2"/>
      <c r="I10" s="17"/>
      <c r="J10" s="18" t="s">
        <v>3</v>
      </c>
      <c r="K10" s="18" t="s">
        <v>4</v>
      </c>
      <c r="L10" s="18" t="s">
        <v>5</v>
      </c>
      <c r="M10" s="18" t="s">
        <v>6</v>
      </c>
      <c r="N10" s="18" t="s">
        <v>7</v>
      </c>
      <c r="O10" s="18" t="s">
        <v>57</v>
      </c>
    </row>
    <row r="11" spans="2:15" ht="21.75" customHeight="1">
      <c r="B11" s="30" t="s">
        <v>50</v>
      </c>
      <c r="C11" s="31"/>
      <c r="D11" s="19"/>
      <c r="E11" s="19"/>
      <c r="F11" s="19"/>
      <c r="G11" s="20" t="str">
        <f>IF(E11=0,"-",F11/D11)</f>
        <v>-</v>
      </c>
      <c r="H11" s="2"/>
      <c r="I11" s="17"/>
      <c r="J11" s="21" t="s">
        <v>9</v>
      </c>
      <c r="K11" s="19"/>
      <c r="L11" s="19"/>
      <c r="M11" s="19"/>
      <c r="N11" s="19"/>
      <c r="O11" s="20" t="str">
        <f>IF(K11=0,"-",L11/K11)</f>
        <v>-</v>
      </c>
    </row>
    <row r="12" spans="2:15" ht="21.75" customHeight="1">
      <c r="B12" s="32" t="s">
        <v>10</v>
      </c>
      <c r="C12" s="33"/>
      <c r="D12" s="22"/>
      <c r="E12" s="22"/>
      <c r="F12" s="22"/>
      <c r="G12" s="23" t="str">
        <f>IF(E12=0,"-",F12/D12)</f>
        <v>-</v>
      </c>
      <c r="H12" s="2"/>
      <c r="I12" s="17"/>
      <c r="J12" s="24" t="s">
        <v>11</v>
      </c>
      <c r="K12" s="22"/>
      <c r="L12" s="22"/>
      <c r="M12" s="22"/>
      <c r="N12" s="22"/>
      <c r="O12" s="23" t="str">
        <f t="shared" ref="O12:O17" si="0">IF(K12=0,"-",L12/K12)</f>
        <v>-</v>
      </c>
    </row>
    <row r="13" spans="2:15" ht="21.75" customHeight="1">
      <c r="B13" s="30" t="s">
        <v>12</v>
      </c>
      <c r="C13" s="31"/>
      <c r="D13" s="19"/>
      <c r="E13" s="19"/>
      <c r="F13" s="19"/>
      <c r="G13" s="20" t="str">
        <f>IF(E13=0,"-",F13/D13)</f>
        <v>-</v>
      </c>
      <c r="H13" s="2"/>
      <c r="I13" s="17"/>
      <c r="J13" s="21" t="s">
        <v>13</v>
      </c>
      <c r="K13" s="19"/>
      <c r="L13" s="19"/>
      <c r="M13" s="19"/>
      <c r="N13" s="19"/>
      <c r="O13" s="20" t="str">
        <f t="shared" si="0"/>
        <v>-</v>
      </c>
    </row>
    <row r="14" spans="2:15" ht="21.75" customHeight="1">
      <c r="B14" s="32" t="s">
        <v>14</v>
      </c>
      <c r="C14" s="33"/>
      <c r="D14" s="22"/>
      <c r="E14" s="22"/>
      <c r="F14" s="22"/>
      <c r="G14" s="23" t="str">
        <f>IF(E14=0,"-",F14/D14)</f>
        <v>-</v>
      </c>
      <c r="H14" s="2"/>
      <c r="I14" s="17"/>
      <c r="J14" s="24" t="s">
        <v>15</v>
      </c>
      <c r="K14" s="22"/>
      <c r="L14" s="22"/>
      <c r="M14" s="22"/>
      <c r="N14" s="22"/>
      <c r="O14" s="23" t="str">
        <f t="shared" si="0"/>
        <v>-</v>
      </c>
    </row>
    <row r="15" spans="2:15" ht="21.75" customHeight="1">
      <c r="B15" s="30" t="s">
        <v>16</v>
      </c>
      <c r="C15" s="31"/>
      <c r="D15" s="19"/>
      <c r="E15" s="19"/>
      <c r="F15" s="19"/>
      <c r="G15" s="20" t="str">
        <f>IF(E15=0,"-",F15/D15)</f>
        <v>-</v>
      </c>
      <c r="H15" s="2"/>
      <c r="I15" s="17"/>
      <c r="J15" s="21" t="s">
        <v>17</v>
      </c>
      <c r="K15" s="19"/>
      <c r="L15" s="19"/>
      <c r="M15" s="19"/>
      <c r="N15" s="19"/>
      <c r="O15" s="20" t="str">
        <f t="shared" si="0"/>
        <v>-</v>
      </c>
    </row>
    <row r="16" spans="2:15" ht="21.75" customHeight="1">
      <c r="B16" s="69" t="s">
        <v>18</v>
      </c>
      <c r="C16" s="70"/>
      <c r="D16" s="26">
        <f>SUM(D11:D15)</f>
        <v>0</v>
      </c>
      <c r="E16" s="26">
        <f>SUM(E11:E15)</f>
        <v>0</v>
      </c>
      <c r="F16" s="26">
        <f>SUM(F11:F15)</f>
        <v>0</v>
      </c>
      <c r="G16" s="27" t="str">
        <f>IF(E16=0,"-",F16/D16)</f>
        <v>-</v>
      </c>
      <c r="H16" s="2"/>
      <c r="I16" s="17"/>
      <c r="J16" s="24" t="s">
        <v>19</v>
      </c>
      <c r="K16" s="22"/>
      <c r="L16" s="22"/>
      <c r="M16" s="22"/>
      <c r="N16" s="22"/>
      <c r="O16" s="23" t="str">
        <f t="shared" si="0"/>
        <v>-</v>
      </c>
    </row>
    <row r="17" spans="2:15" ht="21.75" customHeight="1">
      <c r="B17" s="14"/>
      <c r="C17" s="14"/>
      <c r="D17" s="14"/>
      <c r="E17" s="14"/>
      <c r="F17" s="14"/>
      <c r="G17" s="14"/>
      <c r="H17" s="14"/>
      <c r="I17" s="17"/>
      <c r="J17" s="25" t="s">
        <v>18</v>
      </c>
      <c r="K17" s="26">
        <f>SUM(K11:K16)</f>
        <v>0</v>
      </c>
      <c r="L17" s="26">
        <f>SUM(L11:L16)</f>
        <v>0</v>
      </c>
      <c r="M17" s="26">
        <f>SUM(M11:M16)</f>
        <v>0</v>
      </c>
      <c r="N17" s="26">
        <f>SUM(N11:N16)</f>
        <v>0</v>
      </c>
      <c r="O17" s="27" t="str">
        <f t="shared" si="0"/>
        <v>-</v>
      </c>
    </row>
    <row r="18" spans="2:15" ht="21.75" customHeight="1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2:15" ht="27.75" customHeight="1">
      <c r="B19" s="66" t="s">
        <v>60</v>
      </c>
      <c r="C19" s="67"/>
      <c r="D19" s="67"/>
      <c r="E19" s="67"/>
      <c r="F19" s="67"/>
      <c r="G19" s="68"/>
      <c r="H19" s="14"/>
      <c r="I19" s="2"/>
      <c r="J19" s="66" t="s">
        <v>61</v>
      </c>
      <c r="K19" s="67"/>
      <c r="L19" s="67"/>
      <c r="M19" s="67"/>
      <c r="N19" s="67"/>
      <c r="O19" s="68"/>
    </row>
    <row r="20" spans="2:15" ht="21.75" customHeight="1">
      <c r="B20" s="28" t="s">
        <v>33</v>
      </c>
      <c r="C20" s="29"/>
      <c r="D20" s="34" t="s">
        <v>4</v>
      </c>
      <c r="E20" s="16"/>
      <c r="F20" s="34" t="s">
        <v>8</v>
      </c>
      <c r="G20" s="16"/>
      <c r="H20" s="14"/>
      <c r="I20" s="2"/>
      <c r="J20" s="28" t="s">
        <v>34</v>
      </c>
      <c r="K20" s="29"/>
      <c r="L20" s="34" t="s">
        <v>58</v>
      </c>
      <c r="M20" s="16"/>
      <c r="N20" s="34" t="s">
        <v>59</v>
      </c>
      <c r="O20" s="16"/>
    </row>
    <row r="21" spans="2:15" ht="21.75" customHeight="1">
      <c r="B21" s="30" t="s">
        <v>64</v>
      </c>
      <c r="C21" s="31"/>
      <c r="D21" s="35">
        <v>50</v>
      </c>
      <c r="E21" s="16"/>
      <c r="F21" s="36">
        <f>IF(D24=0,"-",D21/D24)</f>
        <v>0.54347826086956519</v>
      </c>
      <c r="G21" s="16"/>
      <c r="H21" s="14"/>
      <c r="I21" s="2"/>
      <c r="J21" s="30" t="s">
        <v>35</v>
      </c>
      <c r="K21" s="31"/>
      <c r="L21" s="35"/>
      <c r="M21" s="16"/>
      <c r="N21" s="35"/>
      <c r="O21" s="16"/>
    </row>
    <row r="22" spans="2:15" ht="21.75" customHeight="1">
      <c r="B22" s="32" t="s">
        <v>63</v>
      </c>
      <c r="C22" s="33"/>
      <c r="D22" s="37">
        <v>21</v>
      </c>
      <c r="E22" s="16"/>
      <c r="F22" s="38">
        <f>IF(D24=0,"-",D22/D24)</f>
        <v>0.22826086956521738</v>
      </c>
      <c r="G22" s="16"/>
      <c r="H22" s="14"/>
      <c r="I22" s="2"/>
      <c r="J22" s="32" t="s">
        <v>36</v>
      </c>
      <c r="K22" s="33"/>
      <c r="L22" s="37"/>
      <c r="M22" s="16"/>
      <c r="N22" s="37"/>
      <c r="O22" s="16"/>
    </row>
    <row r="23" spans="2:15" ht="21.75" customHeight="1">
      <c r="B23" s="30" t="s">
        <v>62</v>
      </c>
      <c r="C23" s="31"/>
      <c r="D23" s="35">
        <v>21</v>
      </c>
      <c r="E23" s="16"/>
      <c r="F23" s="36">
        <f>IF(D24=0,"-",D23/D24)</f>
        <v>0.22826086956521738</v>
      </c>
      <c r="G23" s="16"/>
      <c r="H23" s="14"/>
      <c r="I23" s="2"/>
      <c r="J23" s="30" t="s">
        <v>37</v>
      </c>
      <c r="K23" s="31"/>
      <c r="L23" s="35"/>
      <c r="M23" s="16"/>
      <c r="N23" s="35"/>
      <c r="O23" s="16"/>
    </row>
    <row r="24" spans="2:15" ht="21.75" customHeight="1">
      <c r="B24" s="39" t="s">
        <v>18</v>
      </c>
      <c r="C24" s="40"/>
      <c r="D24" s="41">
        <f>SUM(D21:E23)</f>
        <v>92</v>
      </c>
      <c r="E24" s="16"/>
      <c r="F24" s="74">
        <v>1</v>
      </c>
      <c r="G24" s="16"/>
      <c r="H24" s="14"/>
      <c r="I24" s="2"/>
      <c r="J24" s="39" t="s">
        <v>18</v>
      </c>
      <c r="K24" s="40"/>
      <c r="L24" s="71">
        <f>SUM(L21:M23)</f>
        <v>0</v>
      </c>
      <c r="M24" s="72"/>
      <c r="N24" s="72"/>
      <c r="O24" s="73"/>
    </row>
    <row r="25" spans="2:15" ht="21.75" customHeight="1">
      <c r="B25" s="14"/>
      <c r="C25" s="14"/>
      <c r="D25" s="14"/>
      <c r="E25" s="14"/>
      <c r="F25" s="14"/>
      <c r="G25" s="14"/>
      <c r="H25" s="14"/>
      <c r="I25" s="2"/>
      <c r="J25" s="2"/>
      <c r="K25" s="2"/>
      <c r="L25" s="2"/>
      <c r="M25" s="2"/>
      <c r="N25" s="2"/>
      <c r="O25" s="2"/>
    </row>
    <row r="26" spans="2:15" ht="27.75" customHeight="1">
      <c r="B26" s="61" t="s">
        <v>65</v>
      </c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</row>
    <row r="27" spans="2:15" ht="21.75" customHeight="1">
      <c r="B27" s="42" t="s">
        <v>3</v>
      </c>
      <c r="C27" s="43"/>
      <c r="D27" s="44" t="s">
        <v>20</v>
      </c>
      <c r="E27" s="44" t="s">
        <v>21</v>
      </c>
      <c r="F27" s="44" t="s">
        <v>22</v>
      </c>
      <c r="G27" s="44" t="s">
        <v>23</v>
      </c>
      <c r="H27" s="44" t="s">
        <v>24</v>
      </c>
      <c r="I27" s="44" t="s">
        <v>25</v>
      </c>
      <c r="J27" s="44" t="s">
        <v>26</v>
      </c>
      <c r="K27" s="44" t="s">
        <v>27</v>
      </c>
      <c r="L27" s="44" t="s">
        <v>28</v>
      </c>
      <c r="M27" s="44" t="s">
        <v>29</v>
      </c>
      <c r="N27" s="44" t="s">
        <v>30</v>
      </c>
      <c r="O27" s="44" t="s">
        <v>31</v>
      </c>
    </row>
    <row r="28" spans="2:15" ht="21.75" customHeight="1">
      <c r="B28" s="56" t="s">
        <v>48</v>
      </c>
      <c r="C28" s="57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6"/>
    </row>
    <row r="29" spans="2:15" ht="21.75" customHeight="1">
      <c r="B29" s="58" t="s">
        <v>47</v>
      </c>
      <c r="C29" s="59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</row>
    <row r="30" spans="2:15" ht="21.75" customHeight="1">
      <c r="B30" s="52" t="s">
        <v>49</v>
      </c>
      <c r="C30" s="53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6"/>
    </row>
    <row r="31" spans="2:15" ht="21.75" customHeight="1">
      <c r="B31" s="54" t="s">
        <v>32</v>
      </c>
      <c r="C31" s="55"/>
      <c r="D31" s="49" t="s">
        <v>44</v>
      </c>
      <c r="E31" s="50" t="str">
        <f>IF(D28=0,"-",E28/D28)</f>
        <v>-</v>
      </c>
      <c r="F31" s="50"/>
      <c r="G31" s="50"/>
      <c r="H31" s="50"/>
      <c r="I31" s="50"/>
      <c r="J31" s="50"/>
      <c r="K31" s="50"/>
      <c r="L31" s="50"/>
      <c r="M31" s="50"/>
      <c r="N31" s="50"/>
      <c r="O31" s="51"/>
    </row>
  </sheetData>
  <mergeCells count="62">
    <mergeCell ref="J24:K24"/>
    <mergeCell ref="L24:O24"/>
    <mergeCell ref="B23:C23"/>
    <mergeCell ref="D23:E23"/>
    <mergeCell ref="F23:G23"/>
    <mergeCell ref="B13:C13"/>
    <mergeCell ref="B14:C14"/>
    <mergeCell ref="B15:C15"/>
    <mergeCell ref="B16:C16"/>
    <mergeCell ref="B5:G5"/>
    <mergeCell ref="B9:G9"/>
    <mergeCell ref="B10:C10"/>
    <mergeCell ref="B11:C11"/>
    <mergeCell ref="B12:C12"/>
    <mergeCell ref="J20:K20"/>
    <mergeCell ref="B2:O2"/>
    <mergeCell ref="B26:O26"/>
    <mergeCell ref="J5:O5"/>
    <mergeCell ref="B4:O4"/>
    <mergeCell ref="N6:O6"/>
    <mergeCell ref="N7:O7"/>
    <mergeCell ref="B27:C27"/>
    <mergeCell ref="B28:C28"/>
    <mergeCell ref="B31:C31"/>
    <mergeCell ref="F21:G21"/>
    <mergeCell ref="J19:O19"/>
    <mergeCell ref="B6:C6"/>
    <mergeCell ref="L6:M6"/>
    <mergeCell ref="D24:E24"/>
    <mergeCell ref="B29:C29"/>
    <mergeCell ref="B30:C30"/>
    <mergeCell ref="B19:G19"/>
    <mergeCell ref="J6:K6"/>
    <mergeCell ref="J21:K21"/>
    <mergeCell ref="B20:C20"/>
    <mergeCell ref="L21:M21"/>
    <mergeCell ref="L20:M20"/>
    <mergeCell ref="B24:C24"/>
    <mergeCell ref="N20:O20"/>
    <mergeCell ref="F20:G20"/>
    <mergeCell ref="D7:E7"/>
    <mergeCell ref="F6:G6"/>
    <mergeCell ref="B22:C22"/>
    <mergeCell ref="B21:C21"/>
    <mergeCell ref="F7:G7"/>
    <mergeCell ref="D6:E6"/>
    <mergeCell ref="J7:K7"/>
    <mergeCell ref="D22:E22"/>
    <mergeCell ref="J9:O9"/>
    <mergeCell ref="F22:G22"/>
    <mergeCell ref="J23:K23"/>
    <mergeCell ref="D20:E20"/>
    <mergeCell ref="L23:M23"/>
    <mergeCell ref="L7:M7"/>
    <mergeCell ref="B7:C7"/>
    <mergeCell ref="N23:O23"/>
    <mergeCell ref="L22:M22"/>
    <mergeCell ref="D21:E21"/>
    <mergeCell ref="F24:G24"/>
    <mergeCell ref="J22:K22"/>
    <mergeCell ref="N22:O22"/>
    <mergeCell ref="N21:O21"/>
  </mergeCells>
  <phoneticPr fontId="4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2026-03-16T07:48:14Z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NTkyIiwibG9nVGltZSI6IjIwMjYtMDMtMTZUMDc6Mjc6NTBaIiwicElEIjoxLCJ0cmFjZUlkIjoiMjYxODM1MDgzNDg2NDE4ODlGQ0MxNUJDMTQ0OTc1OTUiLCJ1c2VyQ29kZSI6ImxpbWp0In0sIm5vZGUyIjp7ImRzZCI6IjAxMDAwMDAwMDAwMDI1OTIiLCJsb2dUaW1lIjoiMjAyNi0wMy0xNlQwNzoyNzo1MFoiLCJwSUQiOjEsInRyYWNlSWQiOiIyNjE4MzUwODM0ODY0MTg4OUZDQzE1QkMxNDQ5NzU5NSIsInVzZXJDb2RlIjoibGltanQifSwibm9kZTMiOnsiZHNkIjoiMDEwMDAwMDAwMDAwMjU5MiIsImxvZ1RpbWUiOiIyMDI2LTAzLTE2VDA3OjI3OjUwWiIsInBJRCI6MSwidHJhY2VJZCI6IjI2MTgzNTA4MzQ4NjQxODg5RkNDMTVCQzE0NDk3NTk1IiwidXNlckNvZGUiOiJsaW1qdCJ9LCJub2RlNCI6eyJkc2QiOiIwMTAwMDAwMDAwMDAyNTkyIiwibG9nVGltZSI6IjIwMjYtMDMtMTZUMDc6Mjc6NTBaIiwicElEIjoxLCJ0cmFjZUlkIjoiMjYxODM1MDgzNDg2NDE4ODlGQ0MxNUJDMTQ0OTc1OTUiLCJ1c2VyQ29kZSI6ImxpbWp0In0sIm5vZGU1Ijp7ImRzZCI6IjAwMDAwMDAwMDAwMDAwMDAiLCJsb2dUaW1lIjoiMjAyNi0wMy0xNlQwNzo0ODo0OFoiLCJwSUQiOjIwNDgsInRyYWNlSWQiOiI5MDBDRTk2MjE2OTE0QTlDQUNBMTIzNDA3MDFERThDNSIsInVzZXJDb2RlIjoibGltanQifSwibm9kZUNvdW50IjoyfQ==</vt:lpwstr>
  </property>
</Properties>
</file>